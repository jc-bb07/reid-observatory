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l Balance Summary" sheetId="1" state="visible" r:id="rId3"/>
    <sheet name="Full Balance Sheet Detail" sheetId="2" state="visible" r:id="rId4"/>
    <sheet name="Inter-Fund Debt Instruments" sheetId="3" state="visible" r:id="rId5"/>
    <sheet name="Sources &amp; Notes" sheetId="4" state="visible"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Coalfinch Observatory</author>
  </authors>
  <commentList>
    <comment ref="B10" authorId="0">
      <text>
        <r>
          <rPr>
            <sz val="10"/>
            <rFont val="Arial"/>
            <family val="2"/>
          </rPr>
          <t xml:space="preserve">Money in Government's own bank accounts — the most liquid category. Commingled with dozens of internal funds' cash rather than held separately.</t>
        </r>
      </text>
    </comment>
    <comment ref="B11" authorId="0">
      <text>
        <r>
          <rPr>
            <sz val="10"/>
            <rFont val="Arial"/>
            <family val="2"/>
          </rPr>
          <t xml:space="preserve">Fixed-term deposits maturing within roughly a year — still spendable soon, just a notch less liquid than cash at bank.</t>
        </r>
      </text>
    </comment>
    <comment ref="B12" authorId="0">
      <text>
        <r>
          <rPr>
            <sz val="10"/>
            <rFont val="Arial"/>
            <family val="2"/>
          </rPr>
          <t xml:space="preserve">= Cash + Short Term Deposits only. Deliberately excludes the Reserve Fund, NI Fund and PSPA — those are invested assets, not money sitting in an account (see row 46).</t>
        </r>
      </text>
    </comment>
    <comment ref="B15" authorId="0">
      <text>
        <r>
          <rPr>
            <sz val="10"/>
            <rFont val="Arial"/>
            <family val="2"/>
          </rPr>
          <t xml:space="preserve">Fixed-principal Treasury bonds — pay a small annual coupon, don't amortise. Current 3 bonds: £75m maturing 2030, £185m maturing 2034, £400m maturing 2051.</t>
        </r>
      </text>
    </comment>
    <comment ref="B16" authorId="0">
      <text>
        <r>
          <rPr>
            <sz val="10"/>
            <rFont val="Arial"/>
            <family val="2"/>
          </rPr>
          <t xml:space="preserve">Long-term finance leases (equipment, some property) — not Treasury bonds.</t>
        </r>
      </text>
    </comment>
    <comment ref="B17" authorId="0">
      <text>
        <r>
          <rPr>
            <sz val="10"/>
            <rFont val="Arial"/>
            <family val="2"/>
          </rPr>
          <t xml:space="preserve">The portion of finance leases due within a year.</t>
        </r>
      </text>
    </comment>
    <comment ref="B18" authorId="0">
      <text>
        <r>
          <rPr>
            <sz val="10"/>
            <rFont val="Arial"/>
            <family val="2"/>
          </rPr>
          <t xml:space="preserve">The portion of bonds/loans due within a year — near-zero most years, since coupon-only bonds don't amortise.</t>
        </r>
      </text>
    </comment>
    <comment ref="B19" authorId="0">
      <text>
        <r>
          <rPr>
            <sz val="10"/>
            <rFont val="Arial"/>
            <family val="2"/>
          </rPr>
          <t xml:space="preserve">Short-term drawn balances, cleared and redrawn routinely as part of day-to-day cash management — not distress borrowing.</t>
        </r>
      </text>
    </comment>
    <comment ref="B20" authorId="0">
      <text>
        <r>
          <rPr>
            <sz val="10"/>
            <rFont val="Arial"/>
            <family val="2"/>
          </rPr>
          <t xml:space="preserve">= all 5 rows above. Real debt owed to parties OUTSIDE government (bondholders, lessors, banks) — excludes internal loans like the Reserve Fund's advance to the CLF (rows 61-62).</t>
        </r>
      </text>
    </comment>
    <comment ref="B24" authorId="0">
      <text>
        <r>
          <rPr>
            <sz val="10"/>
            <rFont val="Arial"/>
            <family val="2"/>
          </rPr>
          <t xml:space="preserve">= Finance Debt(current) + Loans Payable(current) + Bank Overdrafts. Debt that turns over within about a year.</t>
        </r>
      </text>
    </comment>
    <comment ref="B25" authorId="0">
      <text>
        <r>
          <rPr>
            <sz val="10"/>
            <rFont val="Arial"/>
            <family val="2"/>
          </rPr>
          <t xml:space="preserve">= Loans Payable(long term) + Finance Debt(long term). Mostly the 3 Treasury bonds — serviced by a small coupon over decades, not due for repayment soon.</t>
        </r>
      </text>
    </comment>
    <comment ref="B43" authorId="0">
      <text>
        <r>
          <rPr>
            <sz val="10"/>
            <rFont val="Arial"/>
            <family val="2"/>
          </rPr>
          <t xml:space="preserve">= Total Liquid Assets − Total External Borrowings. The headline 'real cash' figure, but note it nets 30-year bond principal against this year's cash — see rows 22-36 above for a short-term-only view that avoids that.</t>
        </r>
      </text>
    </comment>
    <comment ref="B47" authorId="0">
      <text>
        <r>
          <rPr>
            <sz val="10"/>
            <rFont val="Arial"/>
            <family val="2"/>
          </rPr>
          <t xml:space="preserve">Invested, not cash — an externally managed portfolio (UK/overseas equities, fixed interest) with real equity market exposure. It directly funded the Steam Packet Group acquisition loan via the Consolidated Loans Fund in FY2019-20/FY2020-21 (see 'Inter-Fund Debt Instruments' tab).</t>
        </r>
      </text>
    </comment>
    <comment ref="B48" authorId="0">
      <text>
        <r>
          <rPr>
            <sz val="10"/>
            <rFont val="Arial"/>
            <family val="2"/>
          </rPr>
          <t xml:space="preserve">Ring-fenced for state pensions/benefits, not general government spending. Comprises a small Operating Account (near-cash) plus an externally-invested Investment Account that makes up most of the balance — shown here at market value, not book value.</t>
        </r>
      </text>
    </comment>
    <comment ref="B49" authorId="0">
      <text>
        <r>
          <rPr>
            <sz val="10"/>
            <rFont val="Arial"/>
            <family val="2"/>
          </rPr>
          <t xml:space="preserve">The Public Service Employees Pension Reserve — a cushion of invested assets set aside to smooth pension payments. Exhausted by FY2022-23; effectively £0 since.</t>
        </r>
      </text>
    </comment>
    <comment ref="B52" authorId="0">
      <text>
        <r>
          <rPr>
            <sz val="10"/>
            <rFont val="Arial"/>
            <family val="2"/>
          </rPr>
          <t xml:space="preserve">The day-to-day current account — closest thing to a government 'checking account' balance. Does NOT include the Reserve Fund, NI Fund or PSPA.</t>
        </r>
      </text>
    </comment>
    <comment ref="B56" authorId="0">
      <text>
        <r>
          <rPr>
            <sz val="10"/>
            <rFont val="Arial"/>
            <family val="2"/>
          </rPr>
          <t xml:space="preserve">Full balance-sheet net worth, including the £3bn+ pension liability. Swings heavily year to year mostly from actuarial re-measurements (discount rate, inflation assumptions) — not from operating performance.</t>
        </r>
      </text>
    </comment>
    <comment ref="B61" authorId="0">
      <text>
        <r>
          <rPr>
            <sz val="10"/>
            <rFont val="Arial"/>
            <family val="2"/>
          </rPr>
          <t xml:space="preserve">An internal loan, not a real cash movement. Existed only in FY2019-20/FY2020-21 (£75,354k both years), refinancing the Steam Packet Group acquisition loan through the CLF.</t>
        </r>
      </text>
    </comment>
    <comment ref="B62" authorId="0">
      <text>
        <r>
          <rPr>
            <sz val="10"/>
            <rFont val="Arial"/>
            <family val="2"/>
          </rPr>
          <t xml:space="preserve">A separate, routine internal financing pool for general capital projects — ongoing every year, unlike the one-off Reserve Fund advance above.</t>
        </r>
      </text>
    </comment>
  </commentList>
</comments>
</file>

<file path=xl/comments2.xml><?xml version="1.0" encoding="utf-8"?>
<comments xmlns="http://schemas.openxmlformats.org/spreadsheetml/2006/main" xmlns:xdr="http://schemas.openxmlformats.org/drawingml/2006/spreadsheetDrawing">
  <authors>
    <author>Coalfinch Observatory</author>
  </authors>
  <commentList>
    <comment ref="B7" authorId="0">
      <text>
        <r>
          <rPr>
            <sz val="10"/>
            <rFont val="Arial"/>
            <family val="2"/>
          </rPr>
          <t xml:space="preserve">Freehold land &amp; buildings, vehicles/plant/equipment, infrastructure (roads, sea defences etc.), assets under construction, investment property, and (from FY18-19) intangibles. Includes the Steam Packet Group's ships and terminal buildings — consolidated in full as a 100%-owned subsidiary, NOT listed separately as an 'investment'. Revalued on a rolling 3-5yr cycle, so year-on-year moves partly reflect valuation policy, not just capital spend.</t>
        </r>
      </text>
    </comment>
    <comment ref="B8" authorId="0">
      <text>
        <r>
          <rPr>
            <sz val="10"/>
            <rFont val="Arial"/>
            <family val="2"/>
          </rPr>
          <t xml:space="preserve">The externally managed investment portfolio (UK/overseas equities, fixed interest, cash instruments) backing the Reserve Fund, the NI Fund's Investment Account, PSPA and other reserves — at market value. Does NOT include Steam Packet or Manx Development Corporation — those are consolidated into Fixed Assets / eliminated on consolidation, not held as investments, at Group level.</t>
        </r>
      </text>
    </comment>
    <comment ref="B9" authorId="0">
      <text>
        <r>
          <rPr>
            <sz val="10"/>
            <rFont val="Arial"/>
            <family val="2"/>
          </rPr>
          <t xml:space="preserve">Money owed to Government due more than a year out — mainly long-term loans Government has made to statutory boards/companies (e.g. via the Consolidated Loans Fund). Grew sharply in later years.</t>
        </r>
      </text>
    </comment>
    <comment ref="B13" authorId="0">
      <text>
        <r>
          <rPr>
            <sz val="10"/>
            <rFont val="Arial"/>
            <family val="2"/>
          </rPr>
          <t xml:space="preserve">Short-term amounts owed to Government (under a year), inventory, and prepaid expenses — combined here for space; not always separately broken out in the source accounts.</t>
        </r>
      </text>
    </comment>
    <comment ref="B19" authorId="0">
      <text>
        <r>
          <rPr>
            <sz val="10"/>
            <rFont val="Arial"/>
            <family val="2"/>
          </rPr>
          <t xml:space="preserve">Short-term amounts Government owes to others, due within a year (suppliers, accrued expenses etc.) — distinct from the borrowings tracked elsewhere in this workbook.</t>
        </r>
      </text>
    </comment>
    <comment ref="B20" authorId="0">
      <text>
        <r>
          <rPr>
            <sz val="10"/>
            <rFont val="Arial"/>
            <family val="2"/>
          </rPr>
          <t xml:space="preserve">Combined short-term borrowings (current finance debt + loans payable + overdrafts) — see 'Real Balance Summary' rows 17-19 for the broken-out version.</t>
        </r>
      </text>
    </comment>
    <comment ref="B26" authorId="0">
      <text>
        <r>
          <rPr>
            <sz val="10"/>
            <rFont val="Arial"/>
            <family val="2"/>
          </rPr>
          <t xml:space="preserve">Long-term Treasury bonds — see 'Real Balance Summary' row 15 for the current bond terms.</t>
        </r>
      </text>
    </comment>
    <comment ref="B27" authorId="0">
      <text>
        <r>
          <rPr>
            <sz val="10"/>
            <rFont val="Arial"/>
            <family val="2"/>
          </rPr>
          <t xml:space="preserve">An ACTUARIAL ESTIMATE (£3.05bn at FY23-24), not a fixed number. Highly sensitive to the discount rate (5.06% this year, 4.96% the year before), inflation and life-expectancy assumptions — these alone can swing the liability by hundreds of millions with no change in actual pension promises; auditors flag it as a 'key audit matter' for that reason. Also genuinely open to POLICY change: a cost-sharing valuation was under Tynwald consultation as of 2025-26, which could alter the future contribution/benefit structure.</t>
        </r>
      </text>
    </comment>
    <comment ref="B28" authorId="0">
      <text>
        <r>
          <rPr>
            <sz val="10"/>
            <rFont val="Arial"/>
            <family val="2"/>
          </rPr>
          <t xml:space="preserve">Long-term finance leases — see 'Real Balance Summary' row 16.</t>
        </r>
      </text>
    </comment>
    <comment ref="B29" authorId="0">
      <text>
        <r>
          <rPr>
            <sz val="10"/>
            <rFont val="Arial"/>
            <family val="2"/>
          </rPr>
          <t xml:space="preserve">A catch-all for longer-term obligations that aren't loans or the pension liability — deferred grant income, provisions for known future costs, etc.</t>
        </r>
      </text>
    </comment>
    <comment ref="B37" authorId="0">
      <text>
        <r>
          <rPr>
            <sz val="10"/>
            <rFont val="Arial"/>
            <family val="2"/>
          </rPr>
          <t xml:space="preserve">A technical reconciliation account, not a discretionary reserve.</t>
        </r>
      </text>
    </comment>
    <comment ref="B39" authorId="0">
      <text>
        <r>
          <rPr>
            <sz val="10"/>
            <rFont val="Arial"/>
            <family val="2"/>
          </rPr>
          <t xml:space="preserve">Backs Manx currency notes/coins in circulation — a technical reserve, not general-purpose government money.</t>
        </r>
      </text>
    </comment>
    <comment ref="B46" authorId="0">
      <text>
        <r>
          <rPr>
            <sz val="10"/>
            <rFont val="Arial"/>
            <family val="2"/>
          </rPr>
          <t xml:space="preserve">New sub-funds created from FY2021-22: the Sinking Fund accumulates money to repay the 2051 sustainable bond as it falls due; the Direct Investment Account holds Government's direct equity stakes (e.g. Manx Development Corporation).</t>
        </r>
      </text>
    </comment>
    <comment ref="B47" authorId="0">
      <text>
        <r>
          <rPr>
            <sz val="10"/>
            <rFont val="Arial"/>
            <family val="2"/>
          </rPr>
          <t xml:space="preserve">A large aggregate of many smaller departmental/purpose-specific funds (contingency reserves, project funds etc.) — not itemised in the source accounts at this level.</t>
        </r>
      </text>
    </comment>
  </commentList>
</comments>
</file>

<file path=xl/sharedStrings.xml><?xml version="1.0" encoding="utf-8"?>
<sst xmlns="http://schemas.openxmlformats.org/spreadsheetml/2006/main" count="183" uniqueCount="143">
  <si>
    <t xml:space="preserve">Isle of Man Government — "Real" Bank Balance, FY2013-14 to FY2023-24 (11 years)</t>
  </si>
  <si>
    <t xml:space="preserve">All figures £000 (Group / whole-of-government consolidation) unless noted. Source: IoMG Audited Accounts / Annual Financial Statements / Dark Blue Books, each year. See 'Sources &amp; Notes' tab for page references.</t>
  </si>
  <si>
    <t xml:space="preserve">WHY THIS TABLE EXISTS</t>
  </si>
  <si>
    <t xml:space="preserve">The Government's headline reserve figures (Reserve Fund, National Insurance Fund) have grown steadily and look healthy. But those are investment funds, not spendable cash. The 'real balance' below strips everything back to actual cash + short-term deposits, less actual external borrowings (bonds, overdrafts, finance debt) — the true net liquid cash position of the whole government, independent of how reserves are labelled. Same formula applied consistently across all 11 years, validated against the Government's own published Net Debt notes where they exist.</t>
  </si>
  <si>
    <t xml:space="preserve">£000 (Group)</t>
  </si>
  <si>
    <t xml:space="preserve">FY2013-14</t>
  </si>
  <si>
    <t xml:space="preserve">FY2014-15</t>
  </si>
  <si>
    <t xml:space="preserve">FY2015-16</t>
  </si>
  <si>
    <t xml:space="preserve">FY2016-17</t>
  </si>
  <si>
    <t xml:space="preserve">FY2017-18</t>
  </si>
  <si>
    <t xml:space="preserve">FY2018-19</t>
  </si>
  <si>
    <t xml:space="preserve">FY2019-20</t>
  </si>
  <si>
    <t xml:space="preserve">FY2020-21</t>
  </si>
  <si>
    <t xml:space="preserve">FY2021-22</t>
  </si>
  <si>
    <t xml:space="preserve">FY2022-23</t>
  </si>
  <si>
    <t xml:space="preserve">FY2023-24</t>
  </si>
  <si>
    <t xml:space="preserve">ACTUAL LIQUID ASSETS (money in the bank)</t>
  </si>
  <si>
    <t xml:space="preserve">Cash at Bank and in Hand</t>
  </si>
  <si>
    <t xml:space="preserve">Short Term Deposits</t>
  </si>
  <si>
    <t xml:space="preserve">Total Liquid Assets</t>
  </si>
  <si>
    <t xml:space="preserve">ACTUAL EXTERNAL BORROWINGS (real debt owed outside government)</t>
  </si>
  <si>
    <t xml:space="preserve">Loans Payable (long term — Treasury bonds etc.)</t>
  </si>
  <si>
    <t xml:space="preserve">Finance Debt (long term)</t>
  </si>
  <si>
    <t xml:space="preserve">Finance Debt (current)</t>
  </si>
  <si>
    <t xml:space="preserve">Loans Payable (current)</t>
  </si>
  <si>
    <t xml:space="preserve">Bank Overdrafts</t>
  </si>
  <si>
    <t xml:space="preserve">Total External Borrowings</t>
  </si>
  <si>
    <t xml:space="preserve">BORROWINGS BY TERM — short-term vs long-term (not netted together)</t>
  </si>
  <si>
    <t xml:space="preserve">Long-term bonds are serviced by a small annual coupon over 20-30 years (not accrued to maturity) — netting the full bond principal against this year's cash conflates a 30-year financing choice with actual near-term liquidity pressure. Matches the sankey's separate Long-Term Debt / Liquid Cash beakers (iomg-budget-sankey) and iom_headline_vs_real_balance.html.</t>
  </si>
  <si>
    <t xml:space="preserve">Short-Term Borrowings (current debt + overdrafts)</t>
  </si>
  <si>
    <t xml:space="preserve">Long-Term Debt (bonds + finance leases)</t>
  </si>
  <si>
    <t xml:space="preserve">SHORT-TERM NET POSITION  (Liquid Assets − Short-Term Borrowings)</t>
  </si>
  <si>
    <t xml:space="preserve">The more meaningful 'can we cover near-term obligations' test — cash and short-term debt both turn over within roughly a year, so this is an apples-to-apples comparison (unlike netting 30-year bonds against this year's cash).</t>
  </si>
  <si>
    <t xml:space="preserve">Outstanding long-term bonds (memo, not netted against cash): £75m @ 5.625% fixed, maturity Mar 2030; £185m @ 5.375% fixed, maturity Aug 2034; £400m @ 1.625% fixed, maturity Sep 2051 (the Sept-2021 'sustainable bond' that refinanced the Steam Packet + MUA loans, moving CLF-internal financing onto the external balance sheet — not fresh deficit spending). Coupons paid annually, ~£20.7m/yr run-rate once all three are in a full year. Source: DBB/Annual Financial Statements Note 11.21.</t>
  </si>
  <si>
    <t xml:space="preserve">WHAT DROVE THE CHANGE, YEAR ON YEAR — liquid-asset movement vs borrowings movement</t>
  </si>
  <si>
    <t xml:space="preserve">Positive = helped the Net Real Cash Position that year; negative = hurt it. FY2013-14 has no prior-year column in this series, so its deltas are blank. Reconciliation row ties the two deltas back to the actual year-on-year change in Net Real Cash Position (row 43).</t>
  </si>
  <si>
    <t xml:space="preserve">Δ Liquid Assets (vs prior FY)</t>
  </si>
  <si>
    <t xml:space="preserve">n/a</t>
  </si>
  <si>
    <t xml:space="preserve">Δ Borrowings, sign-flipped (vs prior FY; − = more debt)</t>
  </si>
  <si>
    <t xml:space="preserve">Net Real Cash Position, Δ (check, ties to row 43)</t>
  </si>
  <si>
    <t xml:space="preserve">THE "REAL" BANK BALANCE</t>
  </si>
  <si>
    <t xml:space="preserve">Net Real Cash Position  (Liquid Assets − External Borrowings)</t>
  </si>
  <si>
    <t xml:space="preserve">Same formula every year: (Cash + Short Term Deposits) − (Loans Payable + Finance Debt + Bank Overdrafts). Reproduces the Government's own published Net Debt / cash-flow figures exactly wherever such a note was published (FY2015-16, FY2019-20, FY2020-21, FY2022-23, FY2023-24).</t>
  </si>
  <si>
    <t xml:space="preserve">HEADLINE RESERVE FIGURES (invested assets, externally managed incl. equities — not spendable cash; the Reserve Fund itself funded the Steam Packet acquisition loan via the CLF in FY2019-20/FY2020-21)</t>
  </si>
  <si>
    <t xml:space="preserve">Reserve Fund ("General Reserve Fund") — market value</t>
  </si>
  <si>
    <t xml:space="preserve">National Insurance Fund — total</t>
  </si>
  <si>
    <t xml:space="preserve">Public Service Employees Pension Reserve (PSPA)</t>
  </si>
  <si>
    <t xml:space="preserve">GENERAL REVENUE ACCOUNT — the day-to-day account</t>
  </si>
  <si>
    <t xml:space="preserve">Net General Revenue Account balance</t>
  </si>
  <si>
    <t xml:space="preserve">GRA was consistently in surplus through FY2017-18 (peaking at £91.2m), then fell into deficit from FY2020-21 onward, deepening every year to a £263.9m deficit by FY2023-24.</t>
  </si>
  <si>
    <t xml:space="preserve">MEMO: Total Net Assets/(Liabilities), whole balance sheet (incl. pension liability)</t>
  </si>
  <si>
    <t xml:space="preserve">Total Net Assets / (Liabilities) — Group</t>
  </si>
  <si>
    <t xml:space="preserve">This figure swings wildly (+£1.87bn to −£566m and back to +£1.38bn) largely because of actuarial revaluation of the £2.3-4.8bn public sector pension liability — it is NOT a cash measure. See Full Balance Sheet Detail tab.</t>
  </si>
  <si>
    <t xml:space="preserve">THE INTERNAL DEBT INSTRUMENT YOU FLAGGED</t>
  </si>
  <si>
    <t xml:space="preserve">Reserve Fund advance to Consolidated Loans Fund (funds IoM Steam Packet loan)</t>
  </si>
  <si>
    <t xml:space="preserve">Capital Fund advance to Consolidated Loans Fund (funds capital projects)</t>
  </si>
  <si>
    <t xml:space="preserve">The Reserve Fund→CLF loan only ever existed for 2 of these 11 years (FY2019-20 and FY2020-21, £75,354k both years, funding the Steam Packet ferry company acquisition), then was refinanced away via a new £400m Treasury bond in FY2021-22. Before FY2019-20 the CLF was financed solely by external Bond Issues and the separate internal 'Capital Fund' — the Reserve Fund itself never lent to the CLF in any other year. See Inter-Fund Debt Instruments tab.</t>
  </si>
  <si>
    <t xml:space="preserve">IoMG Consolidated (Group) Balance Sheet — 11 Year Comparison (FY2013-14 to FY2023-24)</t>
  </si>
  <si>
    <t xml:space="preserve">£000, as at 31 March each year, exactly as reported (Group column). Blank cells = line item did not exist / not separately disclosed that year. See Sources &amp; Notes tab.</t>
  </si>
  <si>
    <t xml:space="preserve">LONG TERM ASSETS</t>
  </si>
  <si>
    <t xml:space="preserve">Fixed Assets (incl. Intangibles from FY18-19)</t>
  </si>
  <si>
    <t xml:space="preserve">Long Term Investments</t>
  </si>
  <si>
    <t xml:space="preserve">Long Term Debtors</t>
  </si>
  <si>
    <t xml:space="preserve">Total Long Term Assets</t>
  </si>
  <si>
    <t xml:space="preserve">CURRENT ASSETS</t>
  </si>
  <si>
    <t xml:space="preserve">Stocks and Debtors and Prepayments (combined)</t>
  </si>
  <si>
    <t xml:space="preserve">Total Current Assets</t>
  </si>
  <si>
    <t xml:space="preserve">CURRENT LIABILITIES</t>
  </si>
  <si>
    <t xml:space="preserve">Creditors</t>
  </si>
  <si>
    <t xml:space="preserve">Finance Debt / Loans Payable / Overdrafts (current, combined)</t>
  </si>
  <si>
    <t xml:space="preserve">Total Current Liabilities</t>
  </si>
  <si>
    <t xml:space="preserve">NET CURRENT ASSETS</t>
  </si>
  <si>
    <t xml:space="preserve">LONG TERM LIABILITIES</t>
  </si>
  <si>
    <t xml:space="preserve">Loans Payable</t>
  </si>
  <si>
    <t xml:space="preserve">Pension Scheme Liability</t>
  </si>
  <si>
    <t xml:space="preserve">Other Creditors / Deferred Income and Provisions</t>
  </si>
  <si>
    <t xml:space="preserve">Total Long Term Liabilities</t>
  </si>
  <si>
    <t xml:space="preserve">TOTAL NET ASSETS / (LIABILITIES)</t>
  </si>
  <si>
    <t xml:space="preserve">REPRESENTED BY (RESERVES)</t>
  </si>
  <si>
    <t xml:space="preserve">Net General Revenue Account</t>
  </si>
  <si>
    <t xml:space="preserve">General Revenue Adjustments Account</t>
  </si>
  <si>
    <t xml:space="preserve">Hospital Estates Development Fund</t>
  </si>
  <si>
    <t xml:space="preserve">Manx Currency Account</t>
  </si>
  <si>
    <t xml:space="preserve">Media Development Fund</t>
  </si>
  <si>
    <t xml:space="preserve">National Insurance Fund</t>
  </si>
  <si>
    <t xml:space="preserve">Reserve Fund</t>
  </si>
  <si>
    <t xml:space="preserve">MUA Bond Repayment Fund</t>
  </si>
  <si>
    <t xml:space="preserve">Enterprise Development Fund</t>
  </si>
  <si>
    <t xml:space="preserve">Reserve Fund - Bond / Sinking Fund / Direct Investment (new funds, FY21-22 on)</t>
  </si>
  <si>
    <t xml:space="preserve">Internal Funds and Reserves</t>
  </si>
  <si>
    <t xml:space="preserve">TOTAL (ties to Total Net Assets above)</t>
  </si>
  <si>
    <t xml:space="preserve">Notes: (1) Pre-FRS102 years (FY13-14, FY14-15) did not separately disclose a 'Finance Debt' line — current-year borrowings were reported as one combined 'Bank Overdrafts and Loans Payable' figure, shown net here. (2) 'Stocks/Debtors/Prepayments' combined for space; FY23-24 current-asset sub-lines were not separately broken out in the source extraction. (3) Some reserve funds were created (MUA Bond Repayment Fund FY15-16, Enterprise Development Fund FY16-17, Reserve Fund-Bond/Sinking Fund/Direct Investment Account FY21-22 on) or wound down (Hospital Estates Development Fund fully drawn by FY21-22, PSPA fully drawn by FY23-24) partway through the period — blanks mean the fund didn't exist that year, not a missing figure. (4) Fixed Assets figure for FY17-18 onward includes Intangible Assets and Investment Property where reported separately in the source, folded in here for a consistent single Fixed Assets line across all 11 years.</t>
  </si>
  <si>
    <t xml:space="preserve">Consolidated Loans Fund — How Government Capital Borrowing Is Financed (11 Years)</t>
  </si>
  <si>
    <t xml:space="preserve">The Consolidated Loans Fund (CLF) on-lends money for government capital projects and to statutory boards / government-owned companies. £000, as at 31 March each year.</t>
  </si>
  <si>
    <t xml:space="preserve">£000</t>
  </si>
  <si>
    <t xml:space="preserve">WHO FINANCES THE CONSOLIDATED LOANS FUND (its liabilities)</t>
  </si>
  <si>
    <t xml:space="preserve">Bond Issues (external Treasury bonds)</t>
  </si>
  <si>
    <t xml:space="preserve">Reserve Fund advance  &lt;&lt;&lt; THE INTERNAL LOAN</t>
  </si>
  <si>
    <t xml:space="preserve">Capital Fund advance (internal)</t>
  </si>
  <si>
    <t xml:space="preserve">WHO THE CLF LENDS TO (its assets — loans to statutory boards)</t>
  </si>
  <si>
    <t xml:space="preserve">Manx Electricity Authority / Manx Utilities Authority</t>
  </si>
  <si>
    <t xml:space="preserve">Isle of Man Water &amp; Sewerage Authority / MUA</t>
  </si>
  <si>
    <t xml:space="preserve">Isle of Man Steam Packet Group</t>
  </si>
  <si>
    <t xml:space="preserve">Manx National Heritage</t>
  </si>
  <si>
    <t xml:space="preserve">WHAT CHANGED, YEAR BY YEAR</t>
  </si>
  <si>
    <t xml:space="preserve">• FY2013-14 to FY2018-19: The Reserve Fund never lends to the CLF. External Treasury bonds (£260m, later re-labelled Manx Utilities Authority loans) plus the separate internal 'Capital Fund' (£859m-£880m, peaking FY2016-17) are the only two CLF financing sources throughout this period.</t>
  </si>
  <si>
    <t xml:space="preserve">• 23 May 2018 (within FY2018-19): Government acquires 100% of Isle of Man Steam Packet Group (previously MIOM Ltd) for £48.8m, funded initially by an interim £75.9m loan at 2.5% and a drawdown of Treasury short-term deposits — not yet routed through the CLF or Reserve Fund.</t>
  </si>
  <si>
    <t xml:space="preserve">• 24 May 2018 (also within FY2018-19, per the FY2019-20 accounts' description): the interim loan is restructured into a long-term £75,354k loan at base rate + 2%, repayable by 2028, sitting as a direct Central Government debtor — still not a CLF/Reserve Fund line yet.</t>
  </si>
  <si>
    <t xml:space="preserve">• FY2019-20: The £75,354k Steam Packet loan is refinanced through the CLF, and for the first time the Reserve Fund appears as a CLF liability, advancing £75,354k — i.e. the Reserve Fund becomes the ultimate funder of the Steam Packet loan via the CLF as an intermediary.</t>
  </si>
  <si>
    <t xml:space="preserve">• FY2020-21: Same £75,354k Reserve Fund advance unchanged; no movement in year. Capital Fund contribution stays high (£845m).</t>
  </si>
  <si>
    <t xml:space="preserve">• FY2021-22: Tynwald approves a change in capital financing policy — projects funded from General Revenue directly plus a new Capital Financing Reserve, rather than via CLF loans. A new £400m (1.625%) sustainable Treasury bond is issued, refinancing the Steam Packet and MUA loans. Reserve Fund advance to CLF drops to £0, and stays at £0 through FY2023-24. Bond Issues jump from £260,000k to £652,534k.</t>
  </si>
  <si>
    <t xml:space="preserve">• FY2022-23 / FY2023-24: Reserve Fund advance remains £0. Capital Fund contribution stays small (~£24-36m). CLF continues lending to MUA and Steam Packet (now refinanced at 1.7% via bond proceeds) plus a new Manx National Heritage loan.</t>
  </si>
  <si>
    <t xml:space="preserve">BOTTOM LINE — 11 YEARS OF EVIDENCE</t>
  </si>
  <si>
    <t xml:space="preserve">Across all 11 years available, the Reserve Fund only ever advanced money to the Consolidated Loans Fund in two years out of eleven — FY2019-20 and FY2020-21, both at exactly £75,354k, both tied to the one-off Steam Packet ferry company acquisition. It is not a routine or structural feature of how Government finances itself; before FY2019-20 the CLF ran for at least six straight years on external bonds plus the separate 'Capital Fund' alone, and after FY2021-22 it reverted to that same pattern. What IS a structural, 11-year-long feature: dozens of 'internal funds' every single year hold their cash commingled with General Revenue's own bank deposits rather than segregated — that has been true in every annual report checked, back to FY2013-14. And the two numbers that matter most for your 'big problems' instinct — the widening gap between climbing headline reserves and the collapsing real cash position, and the General Revenue Account's slide from consistent surplus (FY2013-14 to FY2017-18) into a deepening deficit (FY2020-21 onward) — are both real, sustained, multi-year trends, not one-off noise.</t>
  </si>
  <si>
    <t xml:space="preserve">Sources, Methodology &amp; Caveats — 11 Year Series</t>
  </si>
  <si>
    <t xml:space="preserve">SOURCE DOCUMENTS</t>
  </si>
  <si>
    <t xml:space="preserve">dbb_2013-14_dark-blue-book.pdf. Digital text. Balance Sheet: Section 6.6, p.22. Cash: Section 7.15, p.45. Consolidated Loans Fund: Section 9, p.64-65. Movements on Reserves: Section 7.9.3 / 7.19.4-5, p.39-40 &amp; 47-48. No Analysis of Net Debt note existed. No Reserve Fund-to-CLF loan; Isle of Man Steam Packet Group not yet acquired.</t>
  </si>
  <si>
    <t xml:space="preserve">dbb_2014-15_dark-blue-book.pdf. Digital text. Same section structure as FY13-14. No Reserve Fund-to-CLF loan; Steam Packet not mentioned.</t>
  </si>
  <si>
    <t xml:space="preserve">dbb_2015-16_dark-blue-book.pdf. Digital text. First year under FRS102 (new Statement of Changes in Equity, restated comparatives). Balance Sheet: Section 6.6, p.27. New reserve fund this year: MUA Bond Repayment Fund. No Reserve Fund-to-CLF loan; Steam Packet not mentioned.</t>
  </si>
  <si>
    <t xml:space="preserve">dbb_2016-17_dark-blue-book.pdf. Digital text. New reserve fund: Enterprise Development Fund. Pension Scheme Liability jumped ~£841m this year. No Reserve Fund-to-CLF loan; Steam Packet not mentioned.</t>
  </si>
  <si>
    <t xml:space="preserve">dbb_2017-18_dark-blue-book.pdf. Digital text. First mention of Steam Packet/MIOM Ltd — as a Post Balance Sheet Event only (23 May 2018, after this year's 31 March 2018 year-end): £48.2m acquisition + £75.9m loan at 2.5%. Not yet consolidated, no Reserve Fund-to-CLF loan yet.</t>
  </si>
  <si>
    <t xml:space="preserve">dbb_2018-19_audited-accounts.pdf. Digital text. Isle of Man Steam Packet Group now fully consolidated as a 100%-owned Government company (Note 7.30, new 'Acquisition of Businesses' note). The £75,354k Steam Packet loan sits as a direct Central Government long-term debtor, funded via a Treasury deposits drawdown — still NOT yet routed through the CLF or a Reserve Fund line.</t>
  </si>
  <si>
    <t xml:space="preserve">dbb_2019-20_audited-accounts.pdf. SCANNED document — figures extracted via OCR. First year the Reserve Fund appears as a £75,354k CLF liability line, refinancing the Steam Packet loan through the CLF. Balance Sheet: doc p.32. Consolidated Loans Fund: Section 9, p.101-104.</t>
  </si>
  <si>
    <t xml:space="preserve">dbb_2020-21_audited-accounts.pdf. SCANNED document — OCR'd. Reserve Fund CLF advance unchanged at £75,354k. Key headline figures cross-checked against comparatives quoted in the FY2021-22 report and matched exactly.</t>
  </si>
  <si>
    <t xml:space="preserve">dbb_2021-22_audited-accounts.pdf. Digital text. Reserve Fund CLF advance drops to £0 following a new £400m sustainable Treasury bond refinancing. No 'Analysis of Net Debt' note this year (dropped from the report).</t>
  </si>
  <si>
    <t xml:space="preserve">dbb_2022-23_annual-financial-statements.pdf. Digital text. Reserve Fund CLF advance remains £0.</t>
  </si>
  <si>
    <t xml:space="preserve">dbb_2023-24_annual-financial-statements.pdf. Digital text. Standalone Consolidated Loans Fund balance-sheet section dropped from the report entirely this year; only narrative commentary on the Capital Fund balance remains.</t>
  </si>
  <si>
    <t xml:space="preserve">METHODOLOGY — "REAL" BANK BALANCE</t>
  </si>
  <si>
    <t xml:space="preserve">Formula</t>
  </si>
  <si>
    <t xml:space="preserve">Real Net Cash Position = (Cash at Bank and in Hand + Short Term Deposits) − (Loans Payable [long term] + Finance Debt [long term] + Finance Debt [current] + Loans Payable [current] + Bank Overdrafts). Group (whole-of-government) basis, applied identically across all 11 years.</t>
  </si>
  <si>
    <t xml:space="preserve">Pre-FRS102 years</t>
  </si>
  <si>
    <t xml:space="preserve">FY2013-14 and FY2014-15 did not separately disclose a 'Finance Debt' line (that split was introduced with FRS102 from FY2015-16) — current-year borrowings for those two years were reported as a single combined 'Bank Overdrafts and Loans Payable' figure, used as-is.</t>
  </si>
  <si>
    <t xml:space="preserve">Cross-check</t>
  </si>
  <si>
    <t xml:space="preserve">Reproduces the Government's own published cash-flow/Net Debt figures exactly wherever such a note exists (FY2015-16: £360,033k borrowings, government's own total; FY2019-20, FY2020-21, FY2022-23, FY2023-24 similarly verified). Years without an official Net Debt note (FY2013-14, FY2014-15, FY2016-17 to FY2018-19, FY2021-22) use the same formula applied consistently — flagged as calculated, not government-published, for those years.</t>
  </si>
  <si>
    <t xml:space="preserve">KEY CAVEATS</t>
  </si>
  <si>
    <t xml:space="preserve">OCR risk</t>
  </si>
  <si>
    <t xml:space="preserve">FY2019-20 and FY2020-21 are scanned-image PDFs, extracted via OCR rather than digital text. Headline totals were cross-checked for internal arithmetic consistency and against comparatives quoted in adjacent years' reports.</t>
  </si>
  <si>
    <t xml:space="preserve">Section renumbering</t>
  </si>
  <si>
    <t xml:space="preserve">Note/section numbers for the same content shift in nearly every year of this series (e.g. Balance Sheet moves from 6.6 in the 2010s to 10.5 then 11.5 by the 2020s). Lines were matched by description, not by note number.</t>
  </si>
  <si>
    <t xml:space="preserve">Restated comparatives</t>
  </si>
  <si>
    <t xml:space="preserve">Some years restate the prior year's figures (most notably the FY2015-16 FRS102 transition, and general small restatements almost every year). Each year's OWN reported figure is used as the primary series value for that year, not a later restatement — small (usually &lt;1%) differences between a year's own figure and how it's later quoted as a 'comparative' are expected and not treated as errors.</t>
  </si>
  <si>
    <t xml:space="preserve">Not audited by us</t>
  </si>
  <si>
    <t xml:space="preserve">This workbook reorganizes figures taken directly from IoMG's own audited/published accounts; it does not independently audit or restate them.</t>
  </si>
</sst>
</file>

<file path=xl/styles.xml><?xml version="1.0" encoding="utf-8"?>
<styleSheet xmlns="http://schemas.openxmlformats.org/spreadsheetml/2006/main">
  <numFmts count="2">
    <numFmt numFmtId="164" formatCode="General"/>
    <numFmt numFmtId="165" formatCode="#,##0;\(#,##0\);\-"/>
  </numFmts>
  <fonts count="20">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8"/>
      <color rgb="FF595959"/>
      <name val="Arial"/>
      <family val="0"/>
      <charset val="1"/>
    </font>
    <font>
      <b val="true"/>
      <sz val="10"/>
      <color rgb="FF1F3864"/>
      <name val="Arial"/>
      <family val="0"/>
      <charset val="1"/>
    </font>
    <font>
      <sz val="9"/>
      <color rgb="FF404040"/>
      <name val="Arial"/>
      <family val="0"/>
      <charset val="1"/>
    </font>
    <font>
      <b val="true"/>
      <sz val="9"/>
      <color rgb="FFFFFFFF"/>
      <name val="Arial"/>
      <family val="0"/>
      <charset val="1"/>
    </font>
    <font>
      <sz val="9"/>
      <name val="Arial"/>
      <family val="0"/>
      <charset val="1"/>
    </font>
    <font>
      <sz val="9"/>
      <color rgb="FF000000"/>
      <name val="Arial"/>
      <family val="0"/>
      <charset val="1"/>
    </font>
    <font>
      <b val="true"/>
      <sz val="9"/>
      <name val="Arial"/>
      <family val="0"/>
      <charset val="1"/>
    </font>
    <font>
      <b val="true"/>
      <sz val="10"/>
      <name val="Arial"/>
      <family val="0"/>
      <charset val="1"/>
    </font>
    <font>
      <b val="true"/>
      <sz val="9"/>
      <color rgb="FFC00000"/>
      <name val="Arial"/>
      <family val="0"/>
      <charset val="1"/>
    </font>
    <font>
      <b val="true"/>
      <sz val="9"/>
      <color rgb="FF000000"/>
      <name val="Arial"/>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
      <sz val="10"/>
      <color rgb="FF404040"/>
      <name val="Arial"/>
      <family val="0"/>
      <charset val="1"/>
    </font>
  </fonts>
  <fills count="6">
    <fill>
      <patternFill patternType="none"/>
    </fill>
    <fill>
      <patternFill patternType="gray125"/>
    </fill>
    <fill>
      <patternFill patternType="solid">
        <fgColor rgb="FF1F3864"/>
        <bgColor rgb="FF404040"/>
      </patternFill>
    </fill>
    <fill>
      <patternFill patternType="solid">
        <fgColor rgb="FFD9E2F3"/>
        <bgColor rgb="FFD9D9D9"/>
      </patternFill>
    </fill>
    <fill>
      <patternFill patternType="solid">
        <fgColor rgb="FF2E5395"/>
        <bgColor rgb="FF1F3864"/>
      </patternFill>
    </fill>
    <fill>
      <patternFill patternType="solid">
        <fgColor rgb="FFFFF2CC"/>
        <bgColor rgb="FFFFFFFF"/>
      </patternFill>
    </fill>
  </fills>
  <borders count="2">
    <border diagonalUp="false" diagonalDown="false">
      <left/>
      <right/>
      <top/>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4"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5" fontId="11" fillId="0" borderId="1" xfId="0" applyFont="true" applyBorder="true" applyAlignment="true" applyProtection="false">
      <alignment horizontal="right"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5" fontId="12" fillId="5" borderId="1" xfId="0" applyFont="true" applyBorder="true" applyAlignment="true" applyProtection="false">
      <alignment horizontal="right" vertical="bottom" textRotation="0" wrapText="false" indent="0" shrinkToFit="false"/>
      <protection locked="true" hidden="false"/>
    </xf>
    <xf numFmtId="165" fontId="13"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5" fontId="14" fillId="0" borderId="0" xfId="0" applyFont="true" applyBorder="false" applyAlignment="true" applyProtection="false">
      <alignment horizontal="right"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8B855"/>
      <rgbColor rgb="FFFFCC00"/>
      <rgbColor rgb="FFFF9900"/>
      <rgbColor rgb="FFFF6600"/>
      <rgbColor rgb="FF595959"/>
      <rgbColor rgb="FF969696"/>
      <rgbColor rgb="FF1F3864"/>
      <rgbColor rgb="FF339966"/>
      <rgbColor rgb="FF003300"/>
      <rgbColor rgb="FF333300"/>
      <rgbColor rgb="FF993300"/>
      <rgbColor rgb="FF993366"/>
      <rgbColor rgb="FF2E5395"/>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The "Real" Bank Balance vs Headline Reserve Fund vs GRA Balance (£000), 11-year</a:t>
            </a:r>
          </a:p>
        </c:rich>
      </c:tx>
      <c:overlay val="0"/>
      <c:spPr>
        <a:noFill/>
        <a:ln w="0">
          <a:noFill/>
        </a:ln>
      </c:spPr>
    </c:title>
    <c:autoTitleDeleted val="0"/>
    <c:plotArea>
      <c:lineChart>
        <c:grouping val="standard"/>
        <c:varyColors val="0"/>
        <c:ser>
          <c:idx val="0"/>
          <c:order val="0"/>
          <c:tx>
            <c:strRef>
              <c:f>'Real Balance Summary'!B23</c:f>
              <c:strCache>
                <c:ptCount val="1"/>
                <c:pt idx="0">
                  <c:v>Long-term bonds are serviced by a small annual coupon over 20-30 years (not accrued to maturity) — netting the full bond principal against this year's cash conflates a 30-year financing choice with actual near-term liquidity pressure. Matches the sankey's separate Long-Term Debt / Liquid Cash beakers (iomg-budget-sankey) and iom_headline_vs_real_balance.html.</c:v>
                </c:pt>
              </c:strCache>
            </c:strRef>
          </c:tx>
          <c:spPr>
            <a:solidFill>
              <a:srgbClr val="4A7EBB"/>
            </a:solidFill>
            <a:ln w="12600">
              <a:solidFill>
                <a:srgbClr val="4A7EBB"/>
              </a:solidFill>
              <a:round/>
            </a:ln>
          </c:spPr>
          <c:marker>
            <c:symbol val="circle"/>
            <c:size val="5"/>
            <c:spPr>
              <a:solidFill>
                <a:srgbClr val="4A7EBB"/>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'Real Balance Summary'!$C$8:$M$8</c:f>
              <c:strCache>
                <c:ptCount val="11"/>
                <c:pt idx="0">
                  <c:v>FY2013-14</c:v>
                </c:pt>
                <c:pt idx="1">
                  <c:v>FY2014-15</c:v>
                </c:pt>
                <c:pt idx="2">
                  <c:v>FY2015-16</c:v>
                </c:pt>
                <c:pt idx="3">
                  <c:v>FY2016-17</c:v>
                </c:pt>
                <c:pt idx="4">
                  <c:v>FY2017-18</c:v>
                </c:pt>
                <c:pt idx="5">
                  <c:v>FY2018-19</c:v>
                </c:pt>
                <c:pt idx="6">
                  <c:v>FY2019-20</c:v>
                </c:pt>
                <c:pt idx="7">
                  <c:v>FY2020-21</c:v>
                </c:pt>
                <c:pt idx="8">
                  <c:v>FY2021-22</c:v>
                </c:pt>
                <c:pt idx="9">
                  <c:v>FY2022-23</c:v>
                </c:pt>
                <c:pt idx="10">
                  <c:v>FY2023-24</c:v>
                </c:pt>
              </c:strCache>
            </c:strRef>
          </c:cat>
          <c:val>
            <c:numRef>
              <c:f>'Real Balance Summary'!$C$23:$M$23</c:f>
              <c:numCache>
                <c:formatCode>General</c:formatCode>
                <c:ptCount val="11"/>
              </c:numCache>
            </c:numRef>
          </c:val>
          <c:smooth val="0"/>
        </c:ser>
        <c:ser>
          <c:idx val="1"/>
          <c:order val="1"/>
          <c:tx>
            <c:strRef>
              <c:f>'Real Balance Summary'!B32</c:f>
              <c:strCache>
                <c:ptCount val="1"/>
                <c:pt idx="0">
                  <c:v>WHAT DROVE THE CHANGE, YEAR ON YEAR — liquid-asset movement vs borrowings movement</c:v>
                </c:pt>
              </c:strCache>
            </c:strRef>
          </c:tx>
          <c:spPr>
            <a:solidFill>
              <a:srgbClr val="BE4B48"/>
            </a:solidFill>
            <a:ln w="12600">
              <a:solidFill>
                <a:srgbClr val="BE4B48"/>
              </a:solidFill>
              <a:round/>
            </a:ln>
          </c:spPr>
          <c:marker>
            <c:symbol val="circle"/>
            <c:size val="5"/>
            <c:spPr>
              <a:solidFill>
                <a:srgbClr val="BE4B48"/>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'Real Balance Summary'!$C$8:$M$8</c:f>
              <c:strCache>
                <c:ptCount val="11"/>
                <c:pt idx="0">
                  <c:v>FY2013-14</c:v>
                </c:pt>
                <c:pt idx="1">
                  <c:v>FY2014-15</c:v>
                </c:pt>
                <c:pt idx="2">
                  <c:v>FY2015-16</c:v>
                </c:pt>
                <c:pt idx="3">
                  <c:v>FY2016-17</c:v>
                </c:pt>
                <c:pt idx="4">
                  <c:v>FY2017-18</c:v>
                </c:pt>
                <c:pt idx="5">
                  <c:v>FY2018-19</c:v>
                </c:pt>
                <c:pt idx="6">
                  <c:v>FY2019-20</c:v>
                </c:pt>
                <c:pt idx="7">
                  <c:v>FY2020-21</c:v>
                </c:pt>
                <c:pt idx="8">
                  <c:v>FY2021-22</c:v>
                </c:pt>
                <c:pt idx="9">
                  <c:v>FY2022-23</c:v>
                </c:pt>
                <c:pt idx="10">
                  <c:v>FY2023-24</c:v>
                </c:pt>
              </c:strCache>
            </c:strRef>
          </c:cat>
          <c:val>
            <c:numRef>
              <c:f>'Real Balance Summary'!$C$32:$M$32</c:f>
              <c:numCache>
                <c:formatCode>General</c:formatCode>
                <c:ptCount val="11"/>
              </c:numCache>
            </c:numRef>
          </c:val>
          <c:smooth val="0"/>
        </c:ser>
        <c:ser>
          <c:idx val="2"/>
          <c:order val="2"/>
          <c:tx>
            <c:strRef>
              <c:f>'Real Balance Summary'!B27</c:f>
              <c:strCache>
                <c:ptCount val="1"/>
                <c:pt idx="0">
                  <c:v>SHORT-TERM NET POSITION  (Liquid Assets − Short-Term Borrowings)</c:v>
                </c:pt>
              </c:strCache>
            </c:strRef>
          </c:tx>
          <c:spPr>
            <a:solidFill>
              <a:srgbClr val="98B855"/>
            </a:solidFill>
            <a:ln w="12600">
              <a:solidFill>
                <a:srgbClr val="98B855"/>
              </a:solidFill>
              <a:round/>
            </a:ln>
          </c:spPr>
          <c:marker>
            <c:symbol val="circle"/>
            <c:size val="5"/>
            <c:spPr>
              <a:solidFill>
                <a:srgbClr val="98B855"/>
              </a:solidFill>
            </c:spPr>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'Real Balance Summary'!$C$8:$M$8</c:f>
              <c:strCache>
                <c:ptCount val="11"/>
                <c:pt idx="0">
                  <c:v>FY2013-14</c:v>
                </c:pt>
                <c:pt idx="1">
                  <c:v>FY2014-15</c:v>
                </c:pt>
                <c:pt idx="2">
                  <c:v>FY2015-16</c:v>
                </c:pt>
                <c:pt idx="3">
                  <c:v>FY2016-17</c:v>
                </c:pt>
                <c:pt idx="4">
                  <c:v>FY2017-18</c:v>
                </c:pt>
                <c:pt idx="5">
                  <c:v>FY2018-19</c:v>
                </c:pt>
                <c:pt idx="6">
                  <c:v>FY2019-20</c:v>
                </c:pt>
                <c:pt idx="7">
                  <c:v>FY2020-21</c:v>
                </c:pt>
                <c:pt idx="8">
                  <c:v>FY2021-22</c:v>
                </c:pt>
                <c:pt idx="9">
                  <c:v>FY2022-23</c:v>
                </c:pt>
                <c:pt idx="10">
                  <c:v>FY2023-24</c:v>
                </c:pt>
              </c:strCache>
            </c:strRef>
          </c:cat>
          <c:val>
            <c:numRef>
              <c:f>'Real Balance Summary'!$C$27:$M$27</c:f>
              <c:numCache>
                <c:formatCode>#,##0;\(#,##0\);\-</c:formatCode>
                <c:ptCount val="11"/>
                <c:pt idx="0">
                  <c:v>511514</c:v>
                </c:pt>
                <c:pt idx="1">
                  <c:v>544590</c:v>
                </c:pt>
                <c:pt idx="2">
                  <c:v>713535</c:v>
                </c:pt>
                <c:pt idx="3">
                  <c:v>490609</c:v>
                </c:pt>
                <c:pt idx="4">
                  <c:v>528281</c:v>
                </c:pt>
                <c:pt idx="5">
                  <c:v>387182</c:v>
                </c:pt>
                <c:pt idx="6">
                  <c:v>321321</c:v>
                </c:pt>
                <c:pt idx="7">
                  <c:v>211230</c:v>
                </c:pt>
                <c:pt idx="8">
                  <c:v>251745</c:v>
                </c:pt>
                <c:pt idx="9">
                  <c:v>292243</c:v>
                </c:pt>
                <c:pt idx="10">
                  <c:v>255363</c:v>
                </c:pt>
              </c:numCache>
            </c:numRef>
          </c:val>
          <c:smooth val="0"/>
        </c:ser>
        <c:hiLowLines>
          <c:spPr>
            <a:ln w="0">
              <a:noFill/>
            </a:ln>
          </c:spPr>
        </c:hiLowLines>
        <c:marker val="1"/>
        <c:axId val="39296769"/>
        <c:axId val="69664694"/>
      </c:lineChart>
      <c:catAx>
        <c:axId val="3929676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664694"/>
        <c:crosses val="autoZero"/>
        <c:auto val="1"/>
        <c:lblAlgn val="ctr"/>
        <c:lblOffset val="100"/>
        <c:noMultiLvlLbl val="0"/>
      </c:catAx>
      <c:valAx>
        <c:axId val="69664694"/>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£000</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929676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4</xdr:row>
      <xdr:rowOff>0</xdr:rowOff>
    </xdr:from>
    <xdr:to>
      <xdr:col>24</xdr:col>
      <xdr:colOff>346320</xdr:colOff>
      <xdr:row>21</xdr:row>
      <xdr:rowOff>46080</xdr:rowOff>
    </xdr:to>
    <xdr:graphicFrame>
      <xdr:nvGraphicFramePr>
        <xdr:cNvPr id="1" name="Chart 1"/>
        <xdr:cNvGraphicFramePr/>
      </xdr:nvGraphicFramePr>
      <xdr:xfrm>
        <a:off x="12193920" y="981000"/>
        <a:ext cx="10078920" cy="359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6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46"/>
    <col collapsed="false" customWidth="true" hidden="false" outlineLevel="0" max="13" min="3" style="1" width="11"/>
    <col collapsed="false" customWidth="true" hidden="false" outlineLevel="0" max="14" min="14" style="1" width="3"/>
    <col collapsed="false" customWidth="true" hidden="false" outlineLevel="0" max="15" min="15" style="1" width="60"/>
  </cols>
  <sheetData>
    <row r="2" customFormat="false" ht="21.75" hidden="false" customHeight="true" outlineLevel="0" collapsed="false">
      <c r="B2" s="2" t="s">
        <v>0</v>
      </c>
      <c r="C2" s="2"/>
      <c r="D2" s="2"/>
      <c r="E2" s="2"/>
      <c r="F2" s="2"/>
      <c r="G2" s="2"/>
      <c r="H2" s="2"/>
      <c r="I2" s="2"/>
      <c r="J2" s="2"/>
      <c r="K2" s="2"/>
      <c r="L2" s="2"/>
      <c r="M2" s="2"/>
    </row>
    <row r="3" customFormat="false" ht="25.5" hidden="false" customHeight="true" outlineLevel="0" collapsed="false">
      <c r="B3" s="3" t="s">
        <v>1</v>
      </c>
      <c r="C3" s="3"/>
      <c r="D3" s="3"/>
      <c r="E3" s="3"/>
      <c r="F3" s="3"/>
      <c r="G3" s="3"/>
      <c r="H3" s="3"/>
      <c r="I3" s="3"/>
      <c r="J3" s="3"/>
      <c r="K3" s="3"/>
      <c r="L3" s="3"/>
      <c r="M3" s="3"/>
    </row>
    <row r="5" customFormat="false" ht="15" hidden="false" customHeight="true" outlineLevel="0" collapsed="false">
      <c r="B5" s="4" t="s">
        <v>2</v>
      </c>
      <c r="C5" s="4"/>
      <c r="D5" s="4"/>
      <c r="E5" s="4"/>
      <c r="F5" s="4"/>
      <c r="G5" s="4"/>
      <c r="H5" s="4"/>
      <c r="I5" s="4"/>
      <c r="J5" s="4"/>
      <c r="K5" s="4"/>
      <c r="L5" s="4"/>
      <c r="M5" s="4"/>
    </row>
    <row r="6" customFormat="false" ht="39.75" hidden="false" customHeight="true" outlineLevel="0" collapsed="false">
      <c r="B6" s="5" t="s">
        <v>3</v>
      </c>
      <c r="C6" s="5"/>
      <c r="D6" s="5"/>
      <c r="E6" s="5"/>
      <c r="F6" s="5"/>
      <c r="G6" s="5"/>
      <c r="H6" s="5"/>
      <c r="I6" s="5"/>
      <c r="J6" s="5"/>
      <c r="K6" s="5"/>
      <c r="L6" s="5"/>
      <c r="M6" s="5"/>
    </row>
    <row r="8" customFormat="false" ht="15" hidden="false" customHeight="true" outlineLevel="0" collapsed="false">
      <c r="B8" s="6" t="s">
        <v>4</v>
      </c>
      <c r="C8" s="6" t="s">
        <v>5</v>
      </c>
      <c r="D8" s="6" t="s">
        <v>6</v>
      </c>
      <c r="E8" s="6" t="s">
        <v>7</v>
      </c>
      <c r="F8" s="6" t="s">
        <v>8</v>
      </c>
      <c r="G8" s="6" t="s">
        <v>9</v>
      </c>
      <c r="H8" s="6" t="s">
        <v>10</v>
      </c>
      <c r="I8" s="6" t="s">
        <v>11</v>
      </c>
      <c r="J8" s="6" t="s">
        <v>12</v>
      </c>
      <c r="K8" s="6" t="s">
        <v>13</v>
      </c>
      <c r="L8" s="6" t="s">
        <v>14</v>
      </c>
      <c r="M8" s="6" t="s">
        <v>15</v>
      </c>
    </row>
    <row r="9" customFormat="false" ht="15" hidden="false" customHeight="true" outlineLevel="0" collapsed="false">
      <c r="B9" s="4" t="s">
        <v>16</v>
      </c>
      <c r="C9" s="4"/>
      <c r="D9" s="4"/>
      <c r="E9" s="4"/>
      <c r="F9" s="4"/>
      <c r="G9" s="4"/>
      <c r="H9" s="4"/>
      <c r="I9" s="4"/>
      <c r="J9" s="4"/>
      <c r="K9" s="4"/>
      <c r="L9" s="4"/>
      <c r="M9" s="4"/>
    </row>
    <row r="10" customFormat="false" ht="15" hidden="false" customHeight="true" outlineLevel="0" collapsed="false">
      <c r="B10" s="7" t="s">
        <v>17</v>
      </c>
      <c r="C10" s="8" t="n">
        <v>289420</v>
      </c>
      <c r="D10" s="8" t="n">
        <v>293161</v>
      </c>
      <c r="E10" s="8" t="n">
        <v>487529</v>
      </c>
      <c r="F10" s="8" t="n">
        <v>247894</v>
      </c>
      <c r="G10" s="8" t="n">
        <v>204420</v>
      </c>
      <c r="H10" s="8" t="n">
        <v>104757</v>
      </c>
      <c r="I10" s="8" t="n">
        <v>53723</v>
      </c>
      <c r="J10" s="8" t="n">
        <v>65289</v>
      </c>
      <c r="K10" s="8" t="n">
        <v>38018</v>
      </c>
      <c r="L10" s="8" t="n">
        <v>104716</v>
      </c>
      <c r="M10" s="8" t="n">
        <v>58067</v>
      </c>
    </row>
    <row r="11" customFormat="false" ht="15" hidden="false" customHeight="true" outlineLevel="0" collapsed="false">
      <c r="B11" s="7" t="s">
        <v>18</v>
      </c>
      <c r="C11" s="8" t="n">
        <v>230488</v>
      </c>
      <c r="D11" s="8" t="n">
        <v>272436</v>
      </c>
      <c r="E11" s="8" t="n">
        <v>262029</v>
      </c>
      <c r="F11" s="8" t="n">
        <v>265797</v>
      </c>
      <c r="G11" s="8" t="n">
        <v>345666</v>
      </c>
      <c r="H11" s="8" t="n">
        <v>308224</v>
      </c>
      <c r="I11" s="8" t="n">
        <v>284781</v>
      </c>
      <c r="J11" s="8" t="n">
        <v>156802</v>
      </c>
      <c r="K11" s="8" t="n">
        <v>225882</v>
      </c>
      <c r="L11" s="8" t="n">
        <v>193479</v>
      </c>
      <c r="M11" s="8" t="n">
        <v>200951</v>
      </c>
    </row>
    <row r="12" customFormat="false" ht="15" hidden="false" customHeight="true" outlineLevel="0" collapsed="false">
      <c r="B12" s="9" t="s">
        <v>19</v>
      </c>
      <c r="C12" s="10" t="n">
        <f aca="false">SUM(C10:C11)</f>
        <v>519908</v>
      </c>
      <c r="D12" s="10" t="n">
        <f aca="false">SUM(D10:D11)</f>
        <v>565597</v>
      </c>
      <c r="E12" s="10" t="n">
        <f aca="false">SUM(E10:E11)</f>
        <v>749558</v>
      </c>
      <c r="F12" s="10" t="n">
        <f aca="false">SUM(F10:F11)</f>
        <v>513691</v>
      </c>
      <c r="G12" s="10" t="n">
        <f aca="false">SUM(G10:G11)</f>
        <v>550086</v>
      </c>
      <c r="H12" s="10" t="n">
        <f aca="false">SUM(H10:H11)</f>
        <v>412981</v>
      </c>
      <c r="I12" s="10" t="n">
        <f aca="false">SUM(I10:I11)</f>
        <v>338504</v>
      </c>
      <c r="J12" s="10" t="n">
        <f aca="false">SUM(J10:J11)</f>
        <v>222091</v>
      </c>
      <c r="K12" s="10" t="n">
        <f aca="false">SUM(K10:K11)</f>
        <v>263900</v>
      </c>
      <c r="L12" s="10" t="n">
        <f aca="false">SUM(L10:L11)</f>
        <v>298195</v>
      </c>
      <c r="M12" s="10" t="n">
        <f aca="false">SUM(M10:M11)</f>
        <v>259018</v>
      </c>
    </row>
    <row r="14" customFormat="false" ht="15" hidden="false" customHeight="true" outlineLevel="0" collapsed="false">
      <c r="B14" s="4" t="s">
        <v>20</v>
      </c>
      <c r="C14" s="4"/>
      <c r="D14" s="4"/>
      <c r="E14" s="4"/>
      <c r="F14" s="4"/>
      <c r="G14" s="4"/>
      <c r="H14" s="4"/>
      <c r="I14" s="4"/>
      <c r="J14" s="4"/>
      <c r="K14" s="4"/>
      <c r="L14" s="4"/>
      <c r="M14" s="4"/>
    </row>
    <row r="15" customFormat="false" ht="15" hidden="false" customHeight="true" outlineLevel="0" collapsed="false">
      <c r="B15" s="7" t="s">
        <v>21</v>
      </c>
      <c r="C15" s="8" t="n">
        <v>263035</v>
      </c>
      <c r="D15" s="8" t="n">
        <v>262775</v>
      </c>
      <c r="E15" s="8" t="n">
        <v>262837</v>
      </c>
      <c r="F15" s="8" t="n">
        <v>262540</v>
      </c>
      <c r="G15" s="8" t="n">
        <v>264311</v>
      </c>
      <c r="H15" s="8" t="n">
        <v>264251</v>
      </c>
      <c r="I15" s="8" t="n">
        <v>264363</v>
      </c>
      <c r="J15" s="8" t="n">
        <v>264544</v>
      </c>
      <c r="K15" s="8" t="n">
        <v>657403</v>
      </c>
      <c r="L15" s="8" t="n">
        <v>659718</v>
      </c>
      <c r="M15" s="8" t="n">
        <v>669600</v>
      </c>
    </row>
    <row r="16" customFormat="false" ht="15" hidden="false" customHeight="true" outlineLevel="0" collapsed="false">
      <c r="B16" s="7" t="s">
        <v>22</v>
      </c>
      <c r="C16" s="8" t="n">
        <v>0</v>
      </c>
      <c r="D16" s="8" t="n">
        <v>0</v>
      </c>
      <c r="E16" s="8" t="n">
        <v>61173</v>
      </c>
      <c r="F16" s="8" t="n">
        <v>54258</v>
      </c>
      <c r="G16" s="8" t="n">
        <v>50688</v>
      </c>
      <c r="H16" s="8" t="n">
        <v>44258</v>
      </c>
      <c r="I16" s="8" t="n">
        <v>41396</v>
      </c>
      <c r="J16" s="8" t="n">
        <v>30396</v>
      </c>
      <c r="K16" s="8" t="n">
        <v>19276</v>
      </c>
      <c r="L16" s="8" t="n">
        <v>14729</v>
      </c>
      <c r="M16" s="8" t="n">
        <v>17737</v>
      </c>
    </row>
    <row r="17" customFormat="false" ht="15" hidden="false" customHeight="true" outlineLevel="0" collapsed="false">
      <c r="B17" s="7" t="s">
        <v>23</v>
      </c>
      <c r="C17" s="8" t="n">
        <v>0</v>
      </c>
      <c r="D17" s="8" t="n">
        <v>0</v>
      </c>
      <c r="E17" s="8" t="n">
        <v>14302</v>
      </c>
      <c r="F17" s="8" t="n">
        <v>7907</v>
      </c>
      <c r="G17" s="8" t="n">
        <v>6370</v>
      </c>
      <c r="H17" s="8" t="n">
        <v>10256</v>
      </c>
      <c r="I17" s="8" t="n">
        <v>15968</v>
      </c>
      <c r="J17" s="8" t="n">
        <v>9461</v>
      </c>
      <c r="K17" s="8" t="n">
        <v>10703</v>
      </c>
      <c r="L17" s="8" t="n">
        <v>4922</v>
      </c>
      <c r="M17" s="8" t="n">
        <v>2816</v>
      </c>
    </row>
    <row r="18" customFormat="false" ht="15" hidden="false" customHeight="true" outlineLevel="0" collapsed="false">
      <c r="B18" s="7" t="s">
        <v>24</v>
      </c>
      <c r="C18" s="8" t="n">
        <v>0</v>
      </c>
      <c r="D18" s="8" t="n">
        <v>130</v>
      </c>
      <c r="E18" s="8" t="n">
        <v>74</v>
      </c>
      <c r="F18" s="8" t="n">
        <v>165</v>
      </c>
      <c r="G18" s="8" t="n">
        <v>3450</v>
      </c>
      <c r="H18" s="8" t="n">
        <v>454</v>
      </c>
      <c r="I18" s="8" t="n">
        <v>0</v>
      </c>
      <c r="J18" s="8" t="n">
        <v>0</v>
      </c>
      <c r="K18" s="8" t="n">
        <v>0</v>
      </c>
      <c r="L18" s="8" t="n">
        <v>0</v>
      </c>
      <c r="M18" s="8" t="n">
        <v>0</v>
      </c>
    </row>
    <row r="19" customFormat="false" ht="15" hidden="false" customHeight="true" outlineLevel="0" collapsed="false">
      <c r="B19" s="7" t="s">
        <v>25</v>
      </c>
      <c r="C19" s="8" t="n">
        <v>8394</v>
      </c>
      <c r="D19" s="8" t="n">
        <v>20877</v>
      </c>
      <c r="E19" s="8" t="n">
        <v>21647</v>
      </c>
      <c r="F19" s="8" t="n">
        <v>15010</v>
      </c>
      <c r="G19" s="8" t="n">
        <v>11985</v>
      </c>
      <c r="H19" s="8" t="n">
        <v>15089</v>
      </c>
      <c r="I19" s="8" t="n">
        <v>1215</v>
      </c>
      <c r="J19" s="8" t="n">
        <v>1400</v>
      </c>
      <c r="K19" s="8" t="n">
        <v>1452</v>
      </c>
      <c r="L19" s="8" t="n">
        <v>1030</v>
      </c>
      <c r="M19" s="8" t="n">
        <v>839</v>
      </c>
    </row>
    <row r="20" customFormat="false" ht="15" hidden="false" customHeight="true" outlineLevel="0" collapsed="false">
      <c r="B20" s="9" t="s">
        <v>26</v>
      </c>
      <c r="C20" s="10" t="n">
        <f aca="false">SUM(C15:C19)</f>
        <v>271429</v>
      </c>
      <c r="D20" s="10" t="n">
        <f aca="false">SUM(D15:D19)</f>
        <v>283782</v>
      </c>
      <c r="E20" s="10" t="n">
        <f aca="false">SUM(E15:E19)</f>
        <v>360033</v>
      </c>
      <c r="F20" s="10" t="n">
        <f aca="false">SUM(F15:F19)</f>
        <v>339880</v>
      </c>
      <c r="G20" s="10" t="n">
        <f aca="false">SUM(G15:G19)</f>
        <v>336804</v>
      </c>
      <c r="H20" s="10" t="n">
        <f aca="false">SUM(H15:H19)</f>
        <v>334308</v>
      </c>
      <c r="I20" s="10" t="n">
        <f aca="false">SUM(I15:I19)</f>
        <v>322942</v>
      </c>
      <c r="J20" s="10" t="n">
        <f aca="false">SUM(J15:J19)</f>
        <v>305801</v>
      </c>
      <c r="K20" s="10" t="n">
        <f aca="false">SUM(K15:K19)</f>
        <v>688834</v>
      </c>
      <c r="L20" s="10" t="n">
        <f aca="false">SUM(L15:L19)</f>
        <v>680399</v>
      </c>
      <c r="M20" s="10" t="n">
        <f aca="false">SUM(M15:M19)</f>
        <v>690992</v>
      </c>
    </row>
    <row r="22" customFormat="false" ht="15" hidden="false" customHeight="true" outlineLevel="0" collapsed="false">
      <c r="B22" s="4" t="s">
        <v>27</v>
      </c>
      <c r="C22" s="4"/>
      <c r="D22" s="4"/>
      <c r="E22" s="4"/>
      <c r="F22" s="4"/>
      <c r="G22" s="4"/>
      <c r="H22" s="4"/>
      <c r="I22" s="4"/>
      <c r="J22" s="4"/>
      <c r="K22" s="4"/>
      <c r="L22" s="4"/>
      <c r="M22" s="4"/>
    </row>
    <row r="23" customFormat="false" ht="31.5" hidden="false" customHeight="true" outlineLevel="0" collapsed="false">
      <c r="B23" s="3" t="s">
        <v>28</v>
      </c>
      <c r="C23" s="3"/>
      <c r="D23" s="3"/>
      <c r="E23" s="3"/>
      <c r="F23" s="3"/>
      <c r="G23" s="3"/>
      <c r="H23" s="3"/>
      <c r="I23" s="3"/>
      <c r="J23" s="3"/>
      <c r="K23" s="3"/>
      <c r="L23" s="3"/>
      <c r="M23" s="3"/>
    </row>
    <row r="24" customFormat="false" ht="15" hidden="false" customHeight="true" outlineLevel="0" collapsed="false">
      <c r="B24" s="7" t="s">
        <v>29</v>
      </c>
      <c r="C24" s="11" t="n">
        <f aca="false">SUM(C17:C19)</f>
        <v>8394</v>
      </c>
      <c r="D24" s="11" t="n">
        <f aca="false">SUM(D17:D19)</f>
        <v>21007</v>
      </c>
      <c r="E24" s="11" t="n">
        <f aca="false">SUM(E17:E19)</f>
        <v>36023</v>
      </c>
      <c r="F24" s="11" t="n">
        <f aca="false">SUM(F17:F19)</f>
        <v>23082</v>
      </c>
      <c r="G24" s="11" t="n">
        <f aca="false">SUM(G17:G19)</f>
        <v>21805</v>
      </c>
      <c r="H24" s="11" t="n">
        <f aca="false">SUM(H17:H19)</f>
        <v>25799</v>
      </c>
      <c r="I24" s="11" t="n">
        <f aca="false">SUM(I17:I19)</f>
        <v>17183</v>
      </c>
      <c r="J24" s="11" t="n">
        <f aca="false">SUM(J17:J19)</f>
        <v>10861</v>
      </c>
      <c r="K24" s="11" t="n">
        <f aca="false">SUM(K17:K19)</f>
        <v>12155</v>
      </c>
      <c r="L24" s="11" t="n">
        <f aca="false">SUM(L17:L19)</f>
        <v>5952</v>
      </c>
      <c r="M24" s="11" t="n">
        <f aca="false">SUM(M17:M19)</f>
        <v>3655</v>
      </c>
    </row>
    <row r="25" customFormat="false" ht="15" hidden="false" customHeight="true" outlineLevel="0" collapsed="false">
      <c r="B25" s="7" t="s">
        <v>30</v>
      </c>
      <c r="C25" s="11" t="n">
        <f aca="false">C15+C16</f>
        <v>263035</v>
      </c>
      <c r="D25" s="11" t="n">
        <f aca="false">D15+D16</f>
        <v>262775</v>
      </c>
      <c r="E25" s="11" t="n">
        <f aca="false">E15+E16</f>
        <v>324010</v>
      </c>
      <c r="F25" s="11" t="n">
        <f aca="false">F15+F16</f>
        <v>316798</v>
      </c>
      <c r="G25" s="11" t="n">
        <f aca="false">G15+G16</f>
        <v>314999</v>
      </c>
      <c r="H25" s="11" t="n">
        <f aca="false">H15+H16</f>
        <v>308509</v>
      </c>
      <c r="I25" s="11" t="n">
        <f aca="false">I15+I16</f>
        <v>305759</v>
      </c>
      <c r="J25" s="11" t="n">
        <f aca="false">J15+J16</f>
        <v>294940</v>
      </c>
      <c r="K25" s="11" t="n">
        <f aca="false">K15+K16</f>
        <v>676679</v>
      </c>
      <c r="L25" s="11" t="n">
        <f aca="false">L15+L16</f>
        <v>674447</v>
      </c>
      <c r="M25" s="11" t="n">
        <f aca="false">M15+M16</f>
        <v>687337</v>
      </c>
    </row>
    <row r="26" customFormat="false" ht="15" hidden="false" customHeight="true" outlineLevel="0" collapsed="false"/>
    <row r="27" customFormat="false" ht="15" hidden="false" customHeight="true" outlineLevel="0" collapsed="false">
      <c r="B27" s="9" t="s">
        <v>31</v>
      </c>
      <c r="C27" s="12" t="n">
        <f aca="false">C12-C24</f>
        <v>511514</v>
      </c>
      <c r="D27" s="12" t="n">
        <f aca="false">D12-D24</f>
        <v>544590</v>
      </c>
      <c r="E27" s="12" t="n">
        <f aca="false">E12-E24</f>
        <v>713535</v>
      </c>
      <c r="F27" s="12" t="n">
        <f aca="false">F12-F24</f>
        <v>490609</v>
      </c>
      <c r="G27" s="12" t="n">
        <f aca="false">G12-G24</f>
        <v>528281</v>
      </c>
      <c r="H27" s="12" t="n">
        <f aca="false">H12-H24</f>
        <v>387182</v>
      </c>
      <c r="I27" s="12" t="n">
        <f aca="false">I12-I24</f>
        <v>321321</v>
      </c>
      <c r="J27" s="12" t="n">
        <f aca="false">J12-J24</f>
        <v>211230</v>
      </c>
      <c r="K27" s="12" t="n">
        <f aca="false">K12-K24</f>
        <v>251745</v>
      </c>
      <c r="L27" s="12" t="n">
        <f aca="false">L12-L24</f>
        <v>292243</v>
      </c>
      <c r="M27" s="12" t="n">
        <f aca="false">M12-M24</f>
        <v>255363</v>
      </c>
    </row>
    <row r="28" customFormat="false" ht="24" hidden="false" customHeight="true" outlineLevel="0" collapsed="false">
      <c r="B28" s="3" t="s">
        <v>32</v>
      </c>
      <c r="C28" s="3"/>
      <c r="D28" s="3"/>
      <c r="E28" s="3"/>
      <c r="F28" s="3"/>
      <c r="G28" s="3"/>
      <c r="H28" s="3"/>
      <c r="I28" s="3"/>
      <c r="J28" s="3"/>
      <c r="K28" s="3"/>
      <c r="L28" s="3"/>
      <c r="M28" s="3"/>
    </row>
    <row r="29" customFormat="false" ht="15" hidden="false" customHeight="true" outlineLevel="0" collapsed="false"/>
    <row r="30" customFormat="false" ht="31.5" hidden="false" customHeight="true" outlineLevel="0" collapsed="false">
      <c r="B30" s="3" t="s">
        <v>33</v>
      </c>
      <c r="C30" s="3"/>
      <c r="D30" s="3"/>
      <c r="E30" s="3"/>
      <c r="F30" s="3"/>
      <c r="G30" s="3"/>
      <c r="H30" s="3"/>
      <c r="I30" s="3"/>
      <c r="J30" s="3"/>
      <c r="K30" s="3"/>
      <c r="L30" s="3"/>
      <c r="M30" s="3"/>
    </row>
    <row r="31" customFormat="false" ht="15" hidden="false" customHeight="true" outlineLevel="0" collapsed="false"/>
    <row r="32" customFormat="false" ht="15" hidden="false" customHeight="true" outlineLevel="0" collapsed="false">
      <c r="B32" s="4" t="s">
        <v>34</v>
      </c>
      <c r="C32" s="4"/>
      <c r="D32" s="4"/>
      <c r="E32" s="4"/>
      <c r="F32" s="4"/>
      <c r="G32" s="4"/>
      <c r="H32" s="4"/>
      <c r="I32" s="4"/>
      <c r="J32" s="4"/>
      <c r="K32" s="4"/>
      <c r="L32" s="4"/>
      <c r="M32" s="4"/>
    </row>
    <row r="33" customFormat="false" ht="24" hidden="false" customHeight="true" outlineLevel="0" collapsed="false">
      <c r="B33" s="3" t="s">
        <v>35</v>
      </c>
      <c r="C33" s="3"/>
      <c r="D33" s="3"/>
      <c r="E33" s="3"/>
      <c r="F33" s="3"/>
      <c r="G33" s="3"/>
      <c r="H33" s="3"/>
      <c r="I33" s="3"/>
      <c r="J33" s="3"/>
      <c r="K33" s="3"/>
      <c r="L33" s="3"/>
      <c r="M33" s="3"/>
    </row>
    <row r="34" customFormat="false" ht="15" hidden="false" customHeight="true" outlineLevel="0" collapsed="false">
      <c r="B34" s="7" t="s">
        <v>36</v>
      </c>
      <c r="C34" s="13" t="s">
        <v>37</v>
      </c>
      <c r="D34" s="11" t="n">
        <f aca="false">D12-C12</f>
        <v>45689</v>
      </c>
      <c r="E34" s="11" t="n">
        <f aca="false">E12-D12</f>
        <v>183961</v>
      </c>
      <c r="F34" s="11" t="n">
        <f aca="false">F12-E12</f>
        <v>-235867</v>
      </c>
      <c r="G34" s="11" t="n">
        <f aca="false">G12-F12</f>
        <v>36395</v>
      </c>
      <c r="H34" s="11" t="n">
        <f aca="false">H12-G12</f>
        <v>-137105</v>
      </c>
      <c r="I34" s="11" t="n">
        <f aca="false">I12-H12</f>
        <v>-74477</v>
      </c>
      <c r="J34" s="11" t="n">
        <f aca="false">J12-I12</f>
        <v>-116413</v>
      </c>
      <c r="K34" s="11" t="n">
        <f aca="false">K12-J12</f>
        <v>41809</v>
      </c>
      <c r="L34" s="11" t="n">
        <f aca="false">L12-K12</f>
        <v>34295</v>
      </c>
      <c r="M34" s="11" t="n">
        <f aca="false">M12-L12</f>
        <v>-39177</v>
      </c>
    </row>
    <row r="35" customFormat="false" ht="15" hidden="false" customHeight="true" outlineLevel="0" collapsed="false">
      <c r="B35" s="7" t="s">
        <v>38</v>
      </c>
      <c r="C35" s="13" t="s">
        <v>37</v>
      </c>
      <c r="D35" s="11" t="n">
        <f aca="false">-(D20-C20)</f>
        <v>-12353</v>
      </c>
      <c r="E35" s="11" t="n">
        <f aca="false">-(E20-D20)</f>
        <v>-76251</v>
      </c>
      <c r="F35" s="11" t="n">
        <f aca="false">-(F20-E20)</f>
        <v>20153</v>
      </c>
      <c r="G35" s="11" t="n">
        <f aca="false">-(G20-F20)</f>
        <v>3076</v>
      </c>
      <c r="H35" s="11" t="n">
        <f aca="false">-(H20-G20)</f>
        <v>2496</v>
      </c>
      <c r="I35" s="11" t="n">
        <f aca="false">-(I20-H20)</f>
        <v>11366</v>
      </c>
      <c r="J35" s="11" t="n">
        <f aca="false">-(J20-I20)</f>
        <v>17141</v>
      </c>
      <c r="K35" s="11" t="n">
        <f aca="false">-(K20-J20)</f>
        <v>-383033</v>
      </c>
      <c r="L35" s="11" t="n">
        <f aca="false">-(L20-K20)</f>
        <v>8435</v>
      </c>
      <c r="M35" s="11" t="n">
        <f aca="false">-(M20-L20)</f>
        <v>-10593</v>
      </c>
    </row>
    <row r="36" customFormat="false" ht="15" hidden="false" customHeight="true" outlineLevel="0" collapsed="false">
      <c r="B36" s="7" t="s">
        <v>39</v>
      </c>
      <c r="C36" s="13" t="s">
        <v>37</v>
      </c>
      <c r="D36" s="11" t="n">
        <f aca="false">D34+D35</f>
        <v>33336</v>
      </c>
      <c r="E36" s="11" t="n">
        <f aca="false">E34+E35</f>
        <v>107710</v>
      </c>
      <c r="F36" s="11" t="n">
        <f aca="false">F34+F35</f>
        <v>-215714</v>
      </c>
      <c r="G36" s="11" t="n">
        <f aca="false">G34+G35</f>
        <v>39471</v>
      </c>
      <c r="H36" s="11" t="n">
        <f aca="false">H34+H35</f>
        <v>-134609</v>
      </c>
      <c r="I36" s="11" t="n">
        <f aca="false">I34+I35</f>
        <v>-63111</v>
      </c>
      <c r="J36" s="11" t="n">
        <f aca="false">J34+J35</f>
        <v>-99272</v>
      </c>
      <c r="K36" s="11" t="n">
        <f aca="false">K34+K35</f>
        <v>-341224</v>
      </c>
      <c r="L36" s="11" t="n">
        <f aca="false">L34+L35</f>
        <v>42730</v>
      </c>
      <c r="M36" s="11" t="n">
        <f aca="false">M34+M35</f>
        <v>-49770</v>
      </c>
    </row>
    <row r="38" customFormat="false" ht="30"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c r="B42" s="14" t="s">
        <v>40</v>
      </c>
    </row>
    <row r="43" customFormat="false" ht="15" hidden="false" customHeight="true" outlineLevel="0" collapsed="false">
      <c r="B43" s="9" t="s">
        <v>41</v>
      </c>
      <c r="C43" s="15" t="n">
        <f aca="false">C12-C20</f>
        <v>248479</v>
      </c>
      <c r="D43" s="15" t="n">
        <f aca="false">D12-D20</f>
        <v>281815</v>
      </c>
      <c r="E43" s="15" t="n">
        <f aca="false">E12-E20</f>
        <v>389525</v>
      </c>
      <c r="F43" s="15" t="n">
        <f aca="false">F12-F20</f>
        <v>173811</v>
      </c>
      <c r="G43" s="15" t="n">
        <f aca="false">G12-G20</f>
        <v>213282</v>
      </c>
      <c r="H43" s="15" t="n">
        <f aca="false">H12-H20</f>
        <v>78673</v>
      </c>
      <c r="I43" s="15" t="n">
        <f aca="false">I12-I20</f>
        <v>15562</v>
      </c>
      <c r="J43" s="15" t="n">
        <f aca="false">J12-J20</f>
        <v>-83710</v>
      </c>
      <c r="K43" s="15" t="n">
        <f aca="false">K12-K20</f>
        <v>-424934</v>
      </c>
      <c r="L43" s="15" t="n">
        <f aca="false">L12-L20</f>
        <v>-382204</v>
      </c>
      <c r="M43" s="15" t="n">
        <f aca="false">M12-M20</f>
        <v>-431974</v>
      </c>
    </row>
    <row r="44" customFormat="false" ht="39.75" hidden="false" customHeight="true" outlineLevel="0" collapsed="false">
      <c r="B44" s="3" t="s">
        <v>42</v>
      </c>
      <c r="C44" s="3"/>
      <c r="D44" s="3"/>
      <c r="E44" s="3"/>
      <c r="F44" s="3"/>
      <c r="G44" s="3"/>
      <c r="H44" s="3"/>
      <c r="I44" s="3"/>
      <c r="J44" s="3"/>
      <c r="K44" s="3"/>
      <c r="L44" s="3"/>
      <c r="M44" s="3"/>
    </row>
    <row r="46" customFormat="false" ht="15" hidden="false" customHeight="true" outlineLevel="0" collapsed="false">
      <c r="B46" s="14" t="s">
        <v>43</v>
      </c>
    </row>
    <row r="47" customFormat="false" ht="15" hidden="false" customHeight="true" outlineLevel="0" collapsed="false">
      <c r="B47" s="7" t="s">
        <v>44</v>
      </c>
      <c r="C47" s="8" t="n">
        <v>334481</v>
      </c>
      <c r="D47" s="8" t="n">
        <v>342068</v>
      </c>
      <c r="E47" s="8" t="n">
        <v>331046</v>
      </c>
      <c r="F47" s="8" t="n">
        <v>375686</v>
      </c>
      <c r="G47" s="8" t="n">
        <v>351325</v>
      </c>
      <c r="H47" s="8" t="n">
        <v>386423</v>
      </c>
      <c r="I47" s="8" t="n">
        <v>380504</v>
      </c>
      <c r="J47" s="8" t="n">
        <v>448215</v>
      </c>
      <c r="K47" s="8" t="n">
        <v>639491</v>
      </c>
      <c r="L47" s="8" t="n">
        <v>565496</v>
      </c>
      <c r="M47" s="8" t="n">
        <v>584449</v>
      </c>
    </row>
    <row r="48" customFormat="false" ht="15" hidden="false" customHeight="true" outlineLevel="0" collapsed="false">
      <c r="B48" s="7" t="s">
        <v>45</v>
      </c>
      <c r="C48" s="8" t="n">
        <v>727207</v>
      </c>
      <c r="D48" s="8" t="n">
        <v>774519</v>
      </c>
      <c r="E48" s="8" t="n">
        <v>745361</v>
      </c>
      <c r="F48" s="8" t="n">
        <v>850986</v>
      </c>
      <c r="G48" s="8" t="n">
        <v>858964</v>
      </c>
      <c r="H48" s="8" t="n">
        <v>913953</v>
      </c>
      <c r="I48" s="8" t="n">
        <v>880532</v>
      </c>
      <c r="J48" s="8" t="n">
        <v>982785</v>
      </c>
      <c r="K48" s="8" t="n">
        <v>1031611</v>
      </c>
      <c r="L48" s="8" t="n">
        <v>1007243</v>
      </c>
      <c r="M48" s="8" t="n">
        <v>1100078</v>
      </c>
    </row>
    <row r="49" customFormat="false" ht="15" hidden="false" customHeight="true" outlineLevel="0" collapsed="false">
      <c r="B49" s="7" t="s">
        <v>46</v>
      </c>
      <c r="C49" s="8" t="n">
        <v>237316</v>
      </c>
      <c r="D49" s="8" t="n">
        <v>226423</v>
      </c>
      <c r="E49" s="8" t="n">
        <v>191575</v>
      </c>
      <c r="F49" s="8" t="n">
        <v>181382</v>
      </c>
      <c r="G49" s="8" t="n">
        <v>144609</v>
      </c>
      <c r="H49" s="8" t="n">
        <v>117324</v>
      </c>
      <c r="I49" s="8" t="n">
        <v>80911</v>
      </c>
      <c r="J49" s="8" t="n">
        <v>47522</v>
      </c>
      <c r="K49" s="8" t="n">
        <v>9796</v>
      </c>
      <c r="L49" s="8" t="n">
        <v>103</v>
      </c>
      <c r="M49" s="8" t="n">
        <v>0</v>
      </c>
    </row>
    <row r="51" customFormat="false" ht="15" hidden="false" customHeight="true" outlineLevel="0" collapsed="false">
      <c r="B51" s="14" t="s">
        <v>47</v>
      </c>
    </row>
    <row r="52" customFormat="false" ht="15" hidden="false" customHeight="true" outlineLevel="0" collapsed="false">
      <c r="B52" s="9" t="s">
        <v>48</v>
      </c>
      <c r="C52" s="16" t="n">
        <v>41281</v>
      </c>
      <c r="D52" s="16" t="n">
        <v>45517</v>
      </c>
      <c r="E52" s="16" t="n">
        <v>65387</v>
      </c>
      <c r="F52" s="16" t="n">
        <v>62716</v>
      </c>
      <c r="G52" s="16" t="n">
        <v>91213</v>
      </c>
      <c r="H52" s="16" t="n">
        <v>89902</v>
      </c>
      <c r="I52" s="16" t="n">
        <v>92044</v>
      </c>
      <c r="J52" s="16" t="n">
        <v>-7084</v>
      </c>
      <c r="K52" s="16" t="n">
        <v>-115916</v>
      </c>
      <c r="L52" s="16" t="n">
        <v>-165943</v>
      </c>
      <c r="M52" s="16" t="n">
        <v>-263931</v>
      </c>
    </row>
    <row r="53" customFormat="false" ht="27.75" hidden="false" customHeight="true" outlineLevel="0" collapsed="false">
      <c r="B53" s="17" t="s">
        <v>49</v>
      </c>
    </row>
    <row r="55" customFormat="false" ht="15" hidden="false" customHeight="true" outlineLevel="0" collapsed="false">
      <c r="B55" s="14" t="s">
        <v>50</v>
      </c>
    </row>
    <row r="56" customFormat="false" ht="15" hidden="false" customHeight="true" outlineLevel="0" collapsed="false">
      <c r="B56" s="7" t="s">
        <v>51</v>
      </c>
      <c r="C56" s="8" t="n">
        <v>1870719</v>
      </c>
      <c r="D56" s="8" t="n">
        <v>1229719</v>
      </c>
      <c r="E56" s="8" t="n">
        <v>1141476</v>
      </c>
      <c r="F56" s="8" t="n">
        <v>399658</v>
      </c>
      <c r="G56" s="8" t="n">
        <v>421165</v>
      </c>
      <c r="H56" s="8" t="n">
        <v>-58121</v>
      </c>
      <c r="I56" s="8" t="n">
        <v>390595</v>
      </c>
      <c r="J56" s="8" t="n">
        <v>-566423</v>
      </c>
      <c r="K56" s="8" t="n">
        <v>-287417</v>
      </c>
      <c r="L56" s="8" t="n">
        <v>1380771</v>
      </c>
      <c r="M56" s="8" t="n">
        <v>1151342</v>
      </c>
    </row>
    <row r="58" customFormat="false" ht="36.75" hidden="false" customHeight="true" outlineLevel="0" collapsed="false">
      <c r="B58" s="17" t="s">
        <v>52</v>
      </c>
    </row>
    <row r="60" customFormat="false" ht="15" hidden="false" customHeight="true" outlineLevel="0" collapsed="false">
      <c r="B60" s="14" t="s">
        <v>53</v>
      </c>
    </row>
    <row r="61" customFormat="false" ht="15" hidden="false" customHeight="true" outlineLevel="0" collapsed="false">
      <c r="B61" s="9" t="s">
        <v>54</v>
      </c>
      <c r="C61" s="18" t="n">
        <v>0</v>
      </c>
      <c r="D61" s="18" t="n">
        <v>0</v>
      </c>
      <c r="E61" s="18" t="n">
        <v>0</v>
      </c>
      <c r="F61" s="18" t="n">
        <v>0</v>
      </c>
      <c r="G61" s="18" t="n">
        <v>0</v>
      </c>
      <c r="H61" s="18" t="n">
        <v>0</v>
      </c>
      <c r="I61" s="18" t="n">
        <v>75354</v>
      </c>
      <c r="J61" s="18" t="n">
        <v>75354</v>
      </c>
      <c r="K61" s="18" t="n">
        <v>0</v>
      </c>
      <c r="L61" s="18" t="n">
        <v>0</v>
      </c>
      <c r="M61" s="18" t="n">
        <v>0</v>
      </c>
    </row>
    <row r="62" customFormat="false" ht="15" hidden="false" customHeight="true" outlineLevel="0" collapsed="false">
      <c r="B62" s="7" t="s">
        <v>55</v>
      </c>
      <c r="C62" s="8" t="n">
        <v>858986</v>
      </c>
      <c r="D62" s="8" t="n">
        <v>859107</v>
      </c>
      <c r="E62" s="8" t="n">
        <v>867374</v>
      </c>
      <c r="F62" s="8" t="n">
        <v>880054</v>
      </c>
      <c r="G62" s="8" t="n">
        <v>797933</v>
      </c>
      <c r="H62" s="8" t="n">
        <v>813380</v>
      </c>
      <c r="I62" s="8" t="n">
        <v>829350</v>
      </c>
      <c r="J62" s="8" t="n">
        <v>845382</v>
      </c>
      <c r="K62" s="8" t="n">
        <v>26674</v>
      </c>
      <c r="L62" s="8" t="n">
        <v>24216</v>
      </c>
      <c r="M62" s="8" t="n">
        <v>36000</v>
      </c>
    </row>
    <row r="64" customFormat="false" ht="72.75" hidden="false" customHeight="true" outlineLevel="0" collapsed="false">
      <c r="B64" s="17" t="s">
        <v>56</v>
      </c>
    </row>
  </sheetData>
  <mergeCells count="13">
    <mergeCell ref="B2:M2"/>
    <mergeCell ref="B3:M3"/>
    <mergeCell ref="B5:M5"/>
    <mergeCell ref="B6:M6"/>
    <mergeCell ref="B9:M9"/>
    <mergeCell ref="B14:M14"/>
    <mergeCell ref="B22:M22"/>
    <mergeCell ref="B23:M23"/>
    <mergeCell ref="B28:M28"/>
    <mergeCell ref="B30:M30"/>
    <mergeCell ref="B32:M32"/>
    <mergeCell ref="B33:M33"/>
    <mergeCell ref="B44:M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46"/>
    <col collapsed="false" customWidth="true" hidden="false" outlineLevel="0" max="13" min="3" style="1" width="11"/>
  </cols>
  <sheetData>
    <row r="2" customFormat="false" ht="19.5" hidden="false" customHeight="true" outlineLevel="0" collapsed="false">
      <c r="B2" s="2" t="s">
        <v>57</v>
      </c>
      <c r="C2" s="2"/>
      <c r="D2" s="2"/>
      <c r="E2" s="2"/>
      <c r="F2" s="2"/>
      <c r="G2" s="2"/>
      <c r="H2" s="2"/>
      <c r="I2" s="2"/>
      <c r="J2" s="2"/>
      <c r="K2" s="2"/>
      <c r="L2" s="2"/>
      <c r="M2" s="2"/>
    </row>
    <row r="3" customFormat="false" ht="21.75" hidden="false" customHeight="true" outlineLevel="0" collapsed="false">
      <c r="B3" s="3" t="s">
        <v>58</v>
      </c>
      <c r="C3" s="3"/>
      <c r="D3" s="3"/>
      <c r="E3" s="3"/>
      <c r="F3" s="3"/>
      <c r="G3" s="3"/>
      <c r="H3" s="3"/>
      <c r="I3" s="3"/>
      <c r="J3" s="3"/>
      <c r="K3" s="3"/>
      <c r="L3" s="3"/>
      <c r="M3" s="3"/>
    </row>
    <row r="5" customFormat="false" ht="15" hidden="false" customHeight="true" outlineLevel="0" collapsed="false">
      <c r="B5" s="6" t="s">
        <v>4</v>
      </c>
      <c r="C5" s="6" t="s">
        <v>5</v>
      </c>
      <c r="D5" s="6" t="s">
        <v>6</v>
      </c>
      <c r="E5" s="6" t="s">
        <v>7</v>
      </c>
      <c r="F5" s="6" t="s">
        <v>8</v>
      </c>
      <c r="G5" s="6" t="s">
        <v>9</v>
      </c>
      <c r="H5" s="6" t="s">
        <v>10</v>
      </c>
      <c r="I5" s="6" t="s">
        <v>11</v>
      </c>
      <c r="J5" s="6" t="s">
        <v>12</v>
      </c>
      <c r="K5" s="6" t="s">
        <v>13</v>
      </c>
      <c r="L5" s="6" t="s">
        <v>14</v>
      </c>
      <c r="M5" s="6" t="s">
        <v>15</v>
      </c>
    </row>
    <row r="6" customFormat="false" ht="15" hidden="false" customHeight="true" outlineLevel="0" collapsed="false">
      <c r="B6" s="4" t="s">
        <v>59</v>
      </c>
      <c r="C6" s="4"/>
      <c r="D6" s="4"/>
      <c r="E6" s="4"/>
      <c r="F6" s="4"/>
      <c r="G6" s="4"/>
      <c r="H6" s="4"/>
      <c r="I6" s="4"/>
      <c r="J6" s="4"/>
      <c r="K6" s="4"/>
      <c r="L6" s="4"/>
      <c r="M6" s="4"/>
    </row>
    <row r="7" customFormat="false" ht="15" hidden="false" customHeight="true" outlineLevel="0" collapsed="false">
      <c r="B7" s="7" t="s">
        <v>60</v>
      </c>
      <c r="C7" s="19" t="n">
        <v>2778380</v>
      </c>
      <c r="D7" s="19" t="n">
        <v>2781992</v>
      </c>
      <c r="E7" s="19" t="n">
        <v>2759966</v>
      </c>
      <c r="F7" s="19" t="n">
        <v>2698669</v>
      </c>
      <c r="G7" s="19" t="n">
        <v>2602965</v>
      </c>
      <c r="H7" s="19" t="n">
        <v>2601002</v>
      </c>
      <c r="I7" s="19" t="n">
        <v>2679240</v>
      </c>
      <c r="J7" s="19" t="n">
        <v>2624805</v>
      </c>
      <c r="K7" s="19" t="n">
        <v>2838580</v>
      </c>
      <c r="L7" s="19" t="n">
        <v>3028465</v>
      </c>
      <c r="M7" s="19" t="n">
        <v>2859755</v>
      </c>
    </row>
    <row r="8" customFormat="false" ht="15" hidden="false" customHeight="true" outlineLevel="0" collapsed="false">
      <c r="B8" s="7" t="s">
        <v>61</v>
      </c>
      <c r="C8" s="19" t="n">
        <v>1156107</v>
      </c>
      <c r="D8" s="19" t="n">
        <v>1205737</v>
      </c>
      <c r="E8" s="19" t="n">
        <v>934945</v>
      </c>
      <c r="F8" s="19" t="n">
        <v>1320612</v>
      </c>
      <c r="G8" s="19" t="n">
        <v>1318565</v>
      </c>
      <c r="H8" s="19" t="n">
        <v>1337412</v>
      </c>
      <c r="I8" s="19" t="n">
        <v>1426892</v>
      </c>
      <c r="J8" s="19" t="n">
        <v>1615149</v>
      </c>
      <c r="K8" s="19" t="n">
        <v>1898175</v>
      </c>
      <c r="L8" s="19" t="n">
        <v>1715547</v>
      </c>
      <c r="M8" s="19" t="n">
        <v>1825969</v>
      </c>
    </row>
    <row r="9" customFormat="false" ht="15" hidden="false" customHeight="true" outlineLevel="0" collapsed="false">
      <c r="B9" s="7" t="s">
        <v>62</v>
      </c>
      <c r="C9" s="19" t="n">
        <v>19492</v>
      </c>
      <c r="D9" s="19" t="n">
        <v>23098</v>
      </c>
      <c r="E9" s="19" t="n">
        <v>26005</v>
      </c>
      <c r="F9" s="19" t="n">
        <v>26290</v>
      </c>
      <c r="G9" s="19" t="n">
        <v>26627</v>
      </c>
      <c r="H9" s="19" t="n">
        <v>23542</v>
      </c>
      <c r="I9" s="19" t="n">
        <v>22162</v>
      </c>
      <c r="J9" s="19" t="n">
        <v>19398</v>
      </c>
      <c r="K9" s="19" t="n">
        <v>15870</v>
      </c>
      <c r="L9" s="19" t="n">
        <v>24164</v>
      </c>
      <c r="M9" s="19" t="n">
        <v>22247</v>
      </c>
    </row>
    <row r="10" customFormat="false" ht="15" hidden="false" customHeight="true" outlineLevel="0" collapsed="false">
      <c r="B10" s="9" t="s">
        <v>63</v>
      </c>
      <c r="C10" s="10" t="n">
        <v>3953979</v>
      </c>
      <c r="D10" s="10" t="n">
        <v>4010827</v>
      </c>
      <c r="E10" s="10" t="n">
        <v>3720916</v>
      </c>
      <c r="F10" s="10" t="n">
        <v>4045571</v>
      </c>
      <c r="G10" s="10" t="n">
        <v>3948157</v>
      </c>
      <c r="H10" s="10" t="n">
        <v>3961956</v>
      </c>
      <c r="I10" s="10" t="n">
        <v>4128294</v>
      </c>
      <c r="J10" s="10" t="n">
        <v>4259352</v>
      </c>
      <c r="K10" s="10" t="n">
        <v>4752625</v>
      </c>
      <c r="L10" s="10" t="n">
        <v>4768176</v>
      </c>
      <c r="M10" s="10" t="n">
        <v>4707971</v>
      </c>
    </row>
    <row r="12" customFormat="false" ht="15" hidden="false" customHeight="true" outlineLevel="0" collapsed="false">
      <c r="B12" s="4" t="s">
        <v>64</v>
      </c>
      <c r="C12" s="4"/>
      <c r="D12" s="4"/>
      <c r="E12" s="4"/>
      <c r="F12" s="4"/>
      <c r="G12" s="4"/>
      <c r="H12" s="4"/>
      <c r="I12" s="4"/>
      <c r="J12" s="4"/>
      <c r="K12" s="4"/>
      <c r="L12" s="4"/>
      <c r="M12" s="4"/>
    </row>
    <row r="13" customFormat="false" ht="15" hidden="false" customHeight="true" outlineLevel="0" collapsed="false">
      <c r="B13" s="7" t="s">
        <v>65</v>
      </c>
      <c r="C13" s="19" t="n">
        <v>150688</v>
      </c>
      <c r="D13" s="19" t="n">
        <v>83674</v>
      </c>
      <c r="E13" s="19" t="n">
        <v>99305</v>
      </c>
      <c r="F13" s="19" t="n">
        <v>91884</v>
      </c>
      <c r="G13" s="19" t="n">
        <v>76593</v>
      </c>
      <c r="H13" s="19" t="n">
        <v>163231</v>
      </c>
      <c r="I13" s="19" t="n">
        <v>133066</v>
      </c>
      <c r="J13" s="19" t="n">
        <v>236801</v>
      </c>
      <c r="K13" s="19" t="n">
        <v>127744</v>
      </c>
      <c r="L13" s="19" t="n">
        <v>137636</v>
      </c>
      <c r="M13" s="19"/>
    </row>
    <row r="14" customFormat="false" ht="15" hidden="false" customHeight="true" outlineLevel="0" collapsed="false">
      <c r="B14" s="7" t="s">
        <v>18</v>
      </c>
      <c r="C14" s="19" t="n">
        <v>230488</v>
      </c>
      <c r="D14" s="19" t="n">
        <v>272436</v>
      </c>
      <c r="E14" s="19" t="n">
        <v>262029</v>
      </c>
      <c r="F14" s="19" t="n">
        <v>265797</v>
      </c>
      <c r="G14" s="19" t="n">
        <v>345666</v>
      </c>
      <c r="H14" s="19" t="n">
        <v>308224</v>
      </c>
      <c r="I14" s="19" t="n">
        <v>284781</v>
      </c>
      <c r="J14" s="19" t="n">
        <v>156802</v>
      </c>
      <c r="K14" s="19" t="n">
        <v>225882</v>
      </c>
      <c r="L14" s="19" t="n">
        <v>193479</v>
      </c>
      <c r="M14" s="19" t="n">
        <v>200951</v>
      </c>
    </row>
    <row r="15" customFormat="false" ht="15" hidden="false" customHeight="true" outlineLevel="0" collapsed="false">
      <c r="B15" s="7" t="s">
        <v>17</v>
      </c>
      <c r="C15" s="19" t="n">
        <v>289420</v>
      </c>
      <c r="D15" s="19" t="n">
        <v>293161</v>
      </c>
      <c r="E15" s="19" t="n">
        <v>487529</v>
      </c>
      <c r="F15" s="19" t="n">
        <v>247894</v>
      </c>
      <c r="G15" s="19" t="n">
        <v>204420</v>
      </c>
      <c r="H15" s="19" t="n">
        <v>104757</v>
      </c>
      <c r="I15" s="19" t="n">
        <v>53723</v>
      </c>
      <c r="J15" s="19" t="n">
        <v>65289</v>
      </c>
      <c r="K15" s="19" t="n">
        <v>38018</v>
      </c>
      <c r="L15" s="19" t="n">
        <v>104716</v>
      </c>
      <c r="M15" s="19" t="n">
        <v>58067</v>
      </c>
    </row>
    <row r="16" customFormat="false" ht="15" hidden="false" customHeight="true" outlineLevel="0" collapsed="false">
      <c r="B16" s="9" t="s">
        <v>66</v>
      </c>
      <c r="C16" s="10" t="n">
        <v>670596</v>
      </c>
      <c r="D16" s="10" t="n">
        <v>649271</v>
      </c>
      <c r="E16" s="10" t="n">
        <v>848863</v>
      </c>
      <c r="F16" s="10" t="n">
        <v>608209</v>
      </c>
      <c r="G16" s="10" t="n">
        <v>629482</v>
      </c>
      <c r="H16" s="10" t="n">
        <v>583286</v>
      </c>
      <c r="I16" s="10" t="n">
        <v>472190</v>
      </c>
      <c r="J16" s="10" t="n">
        <v>459338</v>
      </c>
      <c r="K16" s="10" t="n">
        <v>431362</v>
      </c>
      <c r="L16" s="10" t="n">
        <v>437502</v>
      </c>
      <c r="M16" s="10" t="n">
        <v>408993</v>
      </c>
    </row>
    <row r="18" customFormat="false" ht="15" hidden="false" customHeight="true" outlineLevel="0" collapsed="false">
      <c r="B18" s="4" t="s">
        <v>67</v>
      </c>
      <c r="C18" s="4"/>
      <c r="D18" s="4"/>
      <c r="E18" s="4"/>
      <c r="F18" s="4"/>
      <c r="G18" s="4"/>
      <c r="H18" s="4"/>
      <c r="I18" s="4"/>
      <c r="J18" s="4"/>
      <c r="K18" s="4"/>
      <c r="L18" s="4"/>
      <c r="M18" s="4"/>
    </row>
    <row r="19" customFormat="false" ht="15" hidden="false" customHeight="true" outlineLevel="0" collapsed="false">
      <c r="B19" s="7" t="s">
        <v>68</v>
      </c>
      <c r="C19" s="19" t="n">
        <v>-79447</v>
      </c>
      <c r="D19" s="19" t="n">
        <v>-57978</v>
      </c>
      <c r="E19" s="19" t="n">
        <v>-60669</v>
      </c>
      <c r="F19" s="19" t="n">
        <v>-65458</v>
      </c>
      <c r="G19" s="19" t="n">
        <v>-80798</v>
      </c>
      <c r="H19" s="19" t="n">
        <v>-77565</v>
      </c>
      <c r="I19" s="19" t="n">
        <v>-101428</v>
      </c>
      <c r="J19" s="19" t="n">
        <v>-147207</v>
      </c>
      <c r="K19" s="19" t="n">
        <v>-168111</v>
      </c>
      <c r="L19" s="19" t="n">
        <v>-223430</v>
      </c>
      <c r="M19" s="19" t="n">
        <v>-201236</v>
      </c>
    </row>
    <row r="20" customFormat="false" ht="15" hidden="false" customHeight="true" outlineLevel="0" collapsed="false">
      <c r="B20" s="7" t="s">
        <v>69</v>
      </c>
      <c r="C20" s="19" t="n">
        <v>-8394</v>
      </c>
      <c r="D20" s="19" t="n">
        <v>-21007</v>
      </c>
      <c r="E20" s="19" t="n">
        <v>-36023</v>
      </c>
      <c r="F20" s="19" t="n">
        <v>-23082</v>
      </c>
      <c r="G20" s="19" t="n">
        <v>-21805</v>
      </c>
      <c r="H20" s="19" t="n">
        <v>-25799</v>
      </c>
      <c r="I20" s="19" t="n">
        <v>-17183</v>
      </c>
      <c r="J20" s="19" t="n">
        <v>-10861</v>
      </c>
      <c r="K20" s="19" t="n">
        <v>-12155</v>
      </c>
      <c r="L20" s="19" t="n">
        <v>-5952</v>
      </c>
      <c r="M20" s="19" t="n">
        <v>-3655</v>
      </c>
    </row>
    <row r="21" customFormat="false" ht="15" hidden="false" customHeight="true" outlineLevel="0" collapsed="false">
      <c r="B21" s="9" t="s">
        <v>70</v>
      </c>
      <c r="C21" s="10" t="n">
        <v>-87841</v>
      </c>
      <c r="D21" s="10" t="n">
        <v>-78985</v>
      </c>
      <c r="E21" s="10" t="n">
        <v>-96692</v>
      </c>
      <c r="F21" s="10" t="n">
        <v>-88540</v>
      </c>
      <c r="G21" s="10" t="n">
        <v>-102603</v>
      </c>
      <c r="H21" s="10" t="n">
        <v>-103864</v>
      </c>
      <c r="I21" s="10" t="n">
        <v>-119111</v>
      </c>
      <c r="J21" s="10" t="n">
        <v>-160068</v>
      </c>
      <c r="K21" s="10" t="n">
        <v>-180766</v>
      </c>
      <c r="L21" s="10" t="n">
        <v>-229882</v>
      </c>
      <c r="M21" s="10" t="n">
        <v>-207244</v>
      </c>
    </row>
    <row r="23" customFormat="false" ht="15" hidden="false" customHeight="true" outlineLevel="0" collapsed="false">
      <c r="B23" s="9" t="s">
        <v>71</v>
      </c>
      <c r="C23" s="10" t="n">
        <v>582755</v>
      </c>
      <c r="D23" s="10" t="n">
        <v>570286</v>
      </c>
      <c r="E23" s="10" t="n">
        <v>752171</v>
      </c>
      <c r="F23" s="10" t="n">
        <v>519669</v>
      </c>
      <c r="G23" s="10" t="n">
        <v>526879</v>
      </c>
      <c r="H23" s="10" t="n">
        <v>479422</v>
      </c>
      <c r="I23" s="10" t="n">
        <v>353079</v>
      </c>
      <c r="J23" s="10" t="n">
        <v>299270</v>
      </c>
      <c r="K23" s="10" t="n">
        <v>250596</v>
      </c>
      <c r="L23" s="10" t="n">
        <v>207620</v>
      </c>
      <c r="M23" s="10" t="n">
        <v>201749</v>
      </c>
    </row>
    <row r="25" customFormat="false" ht="15" hidden="false" customHeight="true" outlineLevel="0" collapsed="false">
      <c r="B25" s="4" t="s">
        <v>72</v>
      </c>
      <c r="C25" s="4"/>
      <c r="D25" s="4"/>
      <c r="E25" s="4"/>
      <c r="F25" s="4"/>
      <c r="G25" s="4"/>
      <c r="H25" s="4"/>
      <c r="I25" s="4"/>
      <c r="J25" s="4"/>
      <c r="K25" s="4"/>
      <c r="L25" s="4"/>
      <c r="M25" s="4"/>
    </row>
    <row r="26" customFormat="false" ht="15" hidden="false" customHeight="true" outlineLevel="0" collapsed="false">
      <c r="B26" s="7" t="s">
        <v>73</v>
      </c>
      <c r="C26" s="19" t="n">
        <v>-263035</v>
      </c>
      <c r="D26" s="19" t="n">
        <v>-262775</v>
      </c>
      <c r="E26" s="19" t="n">
        <v>-262837</v>
      </c>
      <c r="F26" s="19" t="n">
        <v>-262540</v>
      </c>
      <c r="G26" s="19" t="n">
        <v>-264311</v>
      </c>
      <c r="H26" s="19" t="n">
        <v>-264251</v>
      </c>
      <c r="I26" s="19" t="n">
        <v>-264363</v>
      </c>
      <c r="J26" s="19" t="n">
        <v>-264544</v>
      </c>
      <c r="K26" s="19" t="n">
        <v>-657403</v>
      </c>
      <c r="L26" s="19" t="n">
        <v>-659718</v>
      </c>
      <c r="M26" s="19" t="n">
        <v>-669600</v>
      </c>
    </row>
    <row r="27" customFormat="false" ht="15" hidden="false" customHeight="true" outlineLevel="0" collapsed="false">
      <c r="B27" s="7" t="s">
        <v>74</v>
      </c>
      <c r="C27" s="19" t="n">
        <v>-2319941</v>
      </c>
      <c r="D27" s="19" t="n">
        <v>-3014245</v>
      </c>
      <c r="E27" s="19" t="n">
        <v>-2995176</v>
      </c>
      <c r="F27" s="19" t="n">
        <v>-3836189</v>
      </c>
      <c r="G27" s="19" t="n">
        <v>-3726016</v>
      </c>
      <c r="H27" s="19" t="n">
        <v>-4177892</v>
      </c>
      <c r="I27" s="19" t="n">
        <v>-3759972</v>
      </c>
      <c r="J27" s="19" t="n">
        <v>-4799387</v>
      </c>
      <c r="K27" s="19" t="n">
        <v>-4586535</v>
      </c>
      <c r="L27" s="19" t="n">
        <v>-2891213</v>
      </c>
      <c r="M27" s="19" t="n">
        <v>-3048232</v>
      </c>
    </row>
    <row r="28" customFormat="false" ht="15" hidden="false" customHeight="true" outlineLevel="0" collapsed="false">
      <c r="B28" s="7" t="s">
        <v>22</v>
      </c>
      <c r="C28" s="19"/>
      <c r="D28" s="19"/>
      <c r="E28" s="19" t="n">
        <v>-61173</v>
      </c>
      <c r="F28" s="19" t="n">
        <v>-54258</v>
      </c>
      <c r="G28" s="19" t="n">
        <v>-50688</v>
      </c>
      <c r="H28" s="19" t="n">
        <v>-44258</v>
      </c>
      <c r="I28" s="19" t="n">
        <v>-41396</v>
      </c>
      <c r="J28" s="19" t="n">
        <v>-30396</v>
      </c>
      <c r="K28" s="19" t="n">
        <v>-19276</v>
      </c>
      <c r="L28" s="19" t="n">
        <v>-14729</v>
      </c>
      <c r="M28" s="19" t="n">
        <v>-17737</v>
      </c>
    </row>
    <row r="29" customFormat="false" ht="15" hidden="false" customHeight="true" outlineLevel="0" collapsed="false">
      <c r="B29" s="7" t="s">
        <v>75</v>
      </c>
      <c r="C29" s="19" t="n">
        <v>-83039</v>
      </c>
      <c r="D29" s="19" t="n">
        <v>-74374</v>
      </c>
      <c r="E29" s="19" t="n">
        <v>-12425</v>
      </c>
      <c r="F29" s="19" t="n">
        <v>-12595</v>
      </c>
      <c r="G29" s="19" t="n">
        <v>-12856</v>
      </c>
      <c r="H29" s="19" t="n">
        <v>-13098</v>
      </c>
      <c r="I29" s="19" t="n">
        <v>-25047</v>
      </c>
      <c r="J29" s="19" t="n">
        <v>-30718</v>
      </c>
      <c r="K29" s="19" t="n">
        <v>-27424</v>
      </c>
      <c r="L29" s="19" t="n">
        <v>-29365</v>
      </c>
      <c r="M29" s="19" t="n">
        <v>-22809</v>
      </c>
    </row>
    <row r="30" customFormat="false" ht="15" hidden="false" customHeight="true" outlineLevel="0" collapsed="false">
      <c r="B30" s="9" t="s">
        <v>76</v>
      </c>
      <c r="C30" s="10" t="n">
        <v>-2666015</v>
      </c>
      <c r="D30" s="10" t="n">
        <v>-3351394</v>
      </c>
      <c r="E30" s="10" t="n">
        <v>-3331611</v>
      </c>
      <c r="F30" s="10" t="n">
        <v>-4165582</v>
      </c>
      <c r="G30" s="10" t="n">
        <v>-4053871</v>
      </c>
      <c r="H30" s="10" t="n">
        <v>-4499499</v>
      </c>
      <c r="I30" s="10" t="n">
        <v>-4090778</v>
      </c>
      <c r="J30" s="10" t="n">
        <v>-5125045</v>
      </c>
      <c r="K30" s="10" t="n">
        <v>-5290638</v>
      </c>
      <c r="L30" s="10" t="n">
        <v>-3595025</v>
      </c>
      <c r="M30" s="10" t="n">
        <v>-3758378</v>
      </c>
    </row>
    <row r="32" customFormat="false" ht="15" hidden="false" customHeight="true" outlineLevel="0" collapsed="false">
      <c r="B32" s="9" t="s">
        <v>77</v>
      </c>
      <c r="C32" s="10" t="n">
        <v>1870719</v>
      </c>
      <c r="D32" s="10" t="n">
        <v>1229719</v>
      </c>
      <c r="E32" s="10" t="n">
        <v>1141476</v>
      </c>
      <c r="F32" s="10" t="n">
        <v>399658</v>
      </c>
      <c r="G32" s="10" t="n">
        <v>421165</v>
      </c>
      <c r="H32" s="10" t="n">
        <v>-58121</v>
      </c>
      <c r="I32" s="10" t="n">
        <v>390595</v>
      </c>
      <c r="J32" s="10" t="n">
        <v>-566423</v>
      </c>
      <c r="K32" s="10" t="n">
        <v>-287417</v>
      </c>
      <c r="L32" s="10" t="n">
        <v>1380771</v>
      </c>
      <c r="M32" s="10" t="n">
        <v>1151342</v>
      </c>
    </row>
    <row r="35" customFormat="false" ht="15" hidden="false" customHeight="true" outlineLevel="0" collapsed="false">
      <c r="B35" s="4" t="s">
        <v>78</v>
      </c>
      <c r="C35" s="4"/>
      <c r="D35" s="4"/>
      <c r="E35" s="4"/>
      <c r="F35" s="4"/>
      <c r="G35" s="4"/>
      <c r="H35" s="4"/>
      <c r="I35" s="4"/>
      <c r="J35" s="4"/>
      <c r="K35" s="4"/>
      <c r="L35" s="4"/>
      <c r="M35" s="4"/>
    </row>
    <row r="36" customFormat="false" ht="15" hidden="false" customHeight="true" outlineLevel="0" collapsed="false">
      <c r="B36" s="7" t="s">
        <v>79</v>
      </c>
      <c r="C36" s="19" t="n">
        <v>41281</v>
      </c>
      <c r="D36" s="19" t="n">
        <v>45517</v>
      </c>
      <c r="E36" s="19" t="n">
        <v>65387</v>
      </c>
      <c r="F36" s="19" t="n">
        <v>62716</v>
      </c>
      <c r="G36" s="19" t="n">
        <v>91213</v>
      </c>
      <c r="H36" s="19" t="n">
        <v>89902</v>
      </c>
      <c r="I36" s="19" t="n">
        <v>92044</v>
      </c>
      <c r="J36" s="19" t="n">
        <v>-7084</v>
      </c>
      <c r="K36" s="19" t="n">
        <v>-115916</v>
      </c>
      <c r="L36" s="19" t="n">
        <v>-165943</v>
      </c>
      <c r="M36" s="19" t="n">
        <v>-263931</v>
      </c>
    </row>
    <row r="37" customFormat="false" ht="15" hidden="false" customHeight="true" outlineLevel="0" collapsed="false">
      <c r="B37" s="7" t="s">
        <v>80</v>
      </c>
      <c r="C37" s="19" t="n">
        <v>286630</v>
      </c>
      <c r="D37" s="19" t="n">
        <v>-395053</v>
      </c>
      <c r="E37" s="19" t="n">
        <v>-395014</v>
      </c>
      <c r="F37" s="19" t="n">
        <v>-1290208</v>
      </c>
      <c r="G37" s="19" t="n">
        <v>-1337333</v>
      </c>
      <c r="H37" s="19" t="n">
        <v>-1881010</v>
      </c>
      <c r="I37" s="19" t="n">
        <v>-1386569</v>
      </c>
      <c r="J37" s="19" t="n">
        <v>-2379957</v>
      </c>
      <c r="K37" s="19" t="n">
        <v>-2277910</v>
      </c>
      <c r="L37" s="19" t="n">
        <v>-573189</v>
      </c>
      <c r="M37" s="19" t="n">
        <v>-763774</v>
      </c>
    </row>
    <row r="38" customFormat="false" ht="15" hidden="false" customHeight="true" outlineLevel="0" collapsed="false">
      <c r="B38" s="7" t="s">
        <v>81</v>
      </c>
      <c r="C38" s="19" t="n">
        <v>44339</v>
      </c>
      <c r="D38" s="19" t="n">
        <v>43451</v>
      </c>
      <c r="E38" s="19" t="n">
        <v>40746</v>
      </c>
      <c r="F38" s="19" t="n">
        <v>38820</v>
      </c>
      <c r="G38" s="19" t="n">
        <v>35137</v>
      </c>
      <c r="H38" s="19" t="n">
        <v>32968</v>
      </c>
      <c r="I38" s="19" t="n">
        <v>27325</v>
      </c>
      <c r="J38" s="19" t="n">
        <v>30023</v>
      </c>
      <c r="K38" s="19" t="n">
        <v>0</v>
      </c>
      <c r="L38" s="19"/>
      <c r="M38" s="19"/>
    </row>
    <row r="39" customFormat="false" ht="15" hidden="false" customHeight="true" outlineLevel="0" collapsed="false">
      <c r="B39" s="7" t="s">
        <v>82</v>
      </c>
      <c r="C39" s="19" t="n">
        <v>76366</v>
      </c>
      <c r="D39" s="19" t="n">
        <v>80629</v>
      </c>
      <c r="E39" s="19" t="n">
        <v>82087</v>
      </c>
      <c r="F39" s="19" t="n">
        <v>82238</v>
      </c>
      <c r="G39" s="19" t="n">
        <v>84453</v>
      </c>
      <c r="H39" s="19" t="n">
        <v>86562</v>
      </c>
      <c r="I39" s="19" t="n">
        <v>98514</v>
      </c>
      <c r="J39" s="19" t="n">
        <v>103369</v>
      </c>
      <c r="K39" s="19" t="n">
        <v>105323</v>
      </c>
      <c r="L39" s="19" t="n">
        <v>102521</v>
      </c>
      <c r="M39" s="19" t="n">
        <v>103865</v>
      </c>
    </row>
    <row r="40" customFormat="false" ht="15" hidden="false" customHeight="true" outlineLevel="0" collapsed="false">
      <c r="B40" s="7" t="s">
        <v>83</v>
      </c>
      <c r="C40" s="19" t="n">
        <v>34466</v>
      </c>
      <c r="D40" s="19" t="n">
        <v>34096</v>
      </c>
      <c r="E40" s="19" t="n">
        <v>24944</v>
      </c>
      <c r="F40" s="19" t="n">
        <v>22743</v>
      </c>
      <c r="G40" s="19" t="n">
        <v>21400</v>
      </c>
      <c r="H40" s="19" t="n">
        <v>16411</v>
      </c>
      <c r="I40" s="19" t="n">
        <v>17089</v>
      </c>
      <c r="J40" s="19" t="n">
        <v>17279</v>
      </c>
      <c r="K40" s="19" t="n">
        <v>816</v>
      </c>
      <c r="L40" s="19" t="n">
        <v>717</v>
      </c>
      <c r="M40" s="19" t="n">
        <v>856</v>
      </c>
    </row>
    <row r="41" customFormat="false" ht="15" hidden="false" customHeight="true" outlineLevel="0" collapsed="false">
      <c r="B41" s="7" t="s">
        <v>84</v>
      </c>
      <c r="C41" s="19" t="n">
        <v>727207</v>
      </c>
      <c r="D41" s="19" t="n">
        <v>774519</v>
      </c>
      <c r="E41" s="19" t="n">
        <v>745361</v>
      </c>
      <c r="F41" s="19" t="n">
        <v>850986</v>
      </c>
      <c r="G41" s="19" t="n">
        <v>858964</v>
      </c>
      <c r="H41" s="19" t="n">
        <v>913953</v>
      </c>
      <c r="I41" s="19" t="n">
        <v>880532</v>
      </c>
      <c r="J41" s="19" t="n">
        <v>982785</v>
      </c>
      <c r="K41" s="19" t="n">
        <v>1031611</v>
      </c>
      <c r="L41" s="19" t="n">
        <v>1007243</v>
      </c>
      <c r="M41" s="19" t="n">
        <v>1100078</v>
      </c>
    </row>
    <row r="42" customFormat="false" ht="15" hidden="false" customHeight="true" outlineLevel="0" collapsed="false">
      <c r="B42" s="7" t="s">
        <v>46</v>
      </c>
      <c r="C42" s="19" t="n">
        <v>237316</v>
      </c>
      <c r="D42" s="19" t="n">
        <v>226423</v>
      </c>
      <c r="E42" s="19" t="n">
        <v>191575</v>
      </c>
      <c r="F42" s="19" t="n">
        <v>181382</v>
      </c>
      <c r="G42" s="19" t="n">
        <v>144609</v>
      </c>
      <c r="H42" s="19" t="n">
        <v>117324</v>
      </c>
      <c r="I42" s="19" t="n">
        <v>80911</v>
      </c>
      <c r="J42" s="19" t="n">
        <v>47522</v>
      </c>
      <c r="K42" s="19" t="n">
        <v>9796</v>
      </c>
      <c r="L42" s="19" t="n">
        <v>103</v>
      </c>
      <c r="M42" s="19" t="n">
        <v>0</v>
      </c>
    </row>
    <row r="43" customFormat="false" ht="15" hidden="false" customHeight="true" outlineLevel="0" collapsed="false">
      <c r="B43" s="7" t="s">
        <v>85</v>
      </c>
      <c r="C43" s="19" t="n">
        <v>334481</v>
      </c>
      <c r="D43" s="19" t="n">
        <v>342068</v>
      </c>
      <c r="E43" s="19" t="n">
        <v>331046</v>
      </c>
      <c r="F43" s="19" t="n">
        <v>375686</v>
      </c>
      <c r="G43" s="19" t="n">
        <v>351325</v>
      </c>
      <c r="H43" s="19" t="n">
        <v>386423</v>
      </c>
      <c r="I43" s="19" t="n">
        <v>380504</v>
      </c>
      <c r="J43" s="19" t="n">
        <v>448215</v>
      </c>
      <c r="K43" s="19" t="n">
        <v>639491</v>
      </c>
      <c r="L43" s="19" t="n">
        <v>565496</v>
      </c>
      <c r="M43" s="19" t="n">
        <v>584449</v>
      </c>
    </row>
    <row r="44" customFormat="false" ht="15" hidden="false" customHeight="true" outlineLevel="0" collapsed="false">
      <c r="B44" s="7" t="s">
        <v>86</v>
      </c>
      <c r="C44" s="19"/>
      <c r="D44" s="19"/>
      <c r="E44" s="19" t="n">
        <v>47179</v>
      </c>
      <c r="F44" s="19" t="n">
        <v>58842</v>
      </c>
      <c r="G44" s="19" t="n">
        <v>58622</v>
      </c>
      <c r="H44" s="19" t="n">
        <v>70438</v>
      </c>
      <c r="I44" s="19" t="n">
        <v>69208</v>
      </c>
      <c r="J44" s="19" t="n">
        <v>84738</v>
      </c>
      <c r="K44" s="19" t="n">
        <v>83392</v>
      </c>
      <c r="L44" s="19" t="n">
        <v>61607</v>
      </c>
      <c r="M44" s="19" t="n">
        <v>78741</v>
      </c>
    </row>
    <row r="45" customFormat="false" ht="15" hidden="false" customHeight="true" outlineLevel="0" collapsed="false">
      <c r="B45" s="7" t="s">
        <v>87</v>
      </c>
      <c r="C45" s="19"/>
      <c r="D45" s="19"/>
      <c r="E45" s="19"/>
      <c r="F45" s="19" t="n">
        <v>9736</v>
      </c>
      <c r="G45" s="19" t="n">
        <v>11539</v>
      </c>
      <c r="H45" s="19" t="n">
        <v>10155</v>
      </c>
      <c r="I45" s="19" t="n">
        <v>7762</v>
      </c>
      <c r="J45" s="19" t="n">
        <v>7903</v>
      </c>
      <c r="K45" s="19" t="n">
        <v>8138</v>
      </c>
      <c r="L45" s="19" t="n">
        <v>8215</v>
      </c>
      <c r="M45" s="19" t="n">
        <v>8555</v>
      </c>
    </row>
    <row r="46" customFormat="false" ht="15" hidden="false" customHeight="true" outlineLevel="0" collapsed="false">
      <c r="B46" s="7" t="s">
        <v>88</v>
      </c>
      <c r="C46" s="19"/>
      <c r="D46" s="19"/>
      <c r="E46" s="19"/>
      <c r="F46" s="19"/>
      <c r="G46" s="19"/>
      <c r="H46" s="19"/>
      <c r="I46" s="19"/>
      <c r="J46" s="19"/>
      <c r="K46" s="19" t="n">
        <v>154210</v>
      </c>
      <c r="L46" s="19" t="n">
        <v>102506</v>
      </c>
      <c r="M46" s="19" t="n">
        <v>102844</v>
      </c>
    </row>
    <row r="47" customFormat="false" ht="15" hidden="false" customHeight="true" outlineLevel="0" collapsed="false">
      <c r="B47" s="7" t="s">
        <v>89</v>
      </c>
      <c r="C47" s="19" t="n">
        <v>88633</v>
      </c>
      <c r="D47" s="19" t="n">
        <v>78069</v>
      </c>
      <c r="E47" s="19" t="n">
        <v>8165</v>
      </c>
      <c r="F47" s="19" t="n">
        <v>4124</v>
      </c>
      <c r="G47" s="19" t="n">
        <v>101236</v>
      </c>
      <c r="H47" s="19" t="n">
        <v>98753</v>
      </c>
      <c r="I47" s="19" t="n">
        <v>123275</v>
      </c>
      <c r="J47" s="19" t="n">
        <v>98784</v>
      </c>
      <c r="K47" s="19" t="n">
        <v>220760</v>
      </c>
      <c r="L47" s="19" t="n">
        <v>249324</v>
      </c>
      <c r="M47" s="19" t="n">
        <v>271370</v>
      </c>
    </row>
    <row r="48" customFormat="false" ht="15" hidden="false" customHeight="true" outlineLevel="0" collapsed="false">
      <c r="B48" s="9" t="s">
        <v>90</v>
      </c>
      <c r="C48" s="10" t="n">
        <v>1870719</v>
      </c>
      <c r="D48" s="10" t="n">
        <v>1229719</v>
      </c>
      <c r="E48" s="10" t="n">
        <v>1141476</v>
      </c>
      <c r="F48" s="10" t="n">
        <v>399658</v>
      </c>
      <c r="G48" s="10" t="n">
        <v>421165</v>
      </c>
      <c r="H48" s="10" t="n">
        <v>-58121</v>
      </c>
      <c r="I48" s="10" t="n">
        <v>390595</v>
      </c>
      <c r="J48" s="10" t="n">
        <v>-566423</v>
      </c>
      <c r="K48" s="10" t="n">
        <v>-287417</v>
      </c>
      <c r="L48" s="10" t="n">
        <v>1380771</v>
      </c>
      <c r="M48" s="10" t="n">
        <v>1151342</v>
      </c>
    </row>
    <row r="51" customFormat="false" ht="60" hidden="false" customHeight="true" outlineLevel="0" collapsed="false">
      <c r="B51" s="3" t="s">
        <v>91</v>
      </c>
      <c r="C51" s="3"/>
      <c r="D51" s="3"/>
      <c r="E51" s="3"/>
      <c r="F51" s="3"/>
      <c r="G51" s="3"/>
      <c r="H51" s="3"/>
      <c r="I51" s="3"/>
      <c r="J51" s="3"/>
      <c r="K51" s="3"/>
      <c r="L51" s="3"/>
      <c r="M51" s="3"/>
    </row>
  </sheetData>
  <mergeCells count="8">
    <mergeCell ref="B2:M2"/>
    <mergeCell ref="B3:M3"/>
    <mergeCell ref="B6:M6"/>
    <mergeCell ref="B12:M12"/>
    <mergeCell ref="B18:M18"/>
    <mergeCell ref="B25:M25"/>
    <mergeCell ref="B35:M35"/>
    <mergeCell ref="B51:M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46"/>
    <col collapsed="false" customWidth="true" hidden="false" outlineLevel="0" max="13" min="3" style="1" width="11"/>
  </cols>
  <sheetData>
    <row r="2" customFormat="false" ht="19.5" hidden="false" customHeight="true" outlineLevel="0" collapsed="false">
      <c r="B2" s="2" t="s">
        <v>92</v>
      </c>
      <c r="C2" s="2"/>
      <c r="D2" s="2"/>
      <c r="E2" s="2"/>
      <c r="F2" s="2"/>
      <c r="G2" s="2"/>
      <c r="H2" s="2"/>
      <c r="I2" s="2"/>
      <c r="J2" s="2"/>
      <c r="K2" s="2"/>
      <c r="L2" s="2"/>
      <c r="M2" s="2"/>
    </row>
    <row r="3" customFormat="false" ht="24" hidden="false" customHeight="true" outlineLevel="0" collapsed="false">
      <c r="B3" s="5" t="s">
        <v>93</v>
      </c>
      <c r="C3" s="5"/>
      <c r="D3" s="5"/>
      <c r="E3" s="5"/>
      <c r="F3" s="5"/>
      <c r="G3" s="5"/>
      <c r="H3" s="5"/>
      <c r="I3" s="5"/>
      <c r="J3" s="5"/>
      <c r="K3" s="5"/>
      <c r="L3" s="5"/>
      <c r="M3" s="5"/>
    </row>
    <row r="6" customFormat="false" ht="15" hidden="false" customHeight="true" outlineLevel="0" collapsed="false">
      <c r="B6" s="6" t="s">
        <v>94</v>
      </c>
      <c r="C6" s="6" t="s">
        <v>5</v>
      </c>
      <c r="D6" s="6" t="s">
        <v>6</v>
      </c>
      <c r="E6" s="6" t="s">
        <v>7</v>
      </c>
      <c r="F6" s="6" t="s">
        <v>8</v>
      </c>
      <c r="G6" s="6" t="s">
        <v>9</v>
      </c>
      <c r="H6" s="6" t="s">
        <v>10</v>
      </c>
      <c r="I6" s="6" t="s">
        <v>11</v>
      </c>
      <c r="J6" s="6" t="s">
        <v>12</v>
      </c>
      <c r="K6" s="6" t="s">
        <v>13</v>
      </c>
      <c r="L6" s="6" t="s">
        <v>14</v>
      </c>
      <c r="M6" s="6" t="s">
        <v>15</v>
      </c>
    </row>
    <row r="7" customFormat="false" ht="15" hidden="false" customHeight="true" outlineLevel="0" collapsed="false">
      <c r="B7" s="4" t="s">
        <v>95</v>
      </c>
      <c r="C7" s="4"/>
      <c r="D7" s="4"/>
      <c r="E7" s="4"/>
      <c r="F7" s="4"/>
      <c r="G7" s="4"/>
      <c r="H7" s="4"/>
      <c r="I7" s="4"/>
      <c r="J7" s="4"/>
      <c r="K7" s="4"/>
      <c r="L7" s="4"/>
      <c r="M7" s="4"/>
    </row>
    <row r="8" customFormat="false" ht="15" hidden="false" customHeight="true" outlineLevel="0" collapsed="false">
      <c r="B8" s="7" t="s">
        <v>96</v>
      </c>
      <c r="C8" s="19" t="n">
        <v>260000</v>
      </c>
      <c r="D8" s="19" t="n">
        <v>260000</v>
      </c>
      <c r="E8" s="19" t="n">
        <v>260000</v>
      </c>
      <c r="F8" s="19" t="n">
        <v>260000</v>
      </c>
      <c r="G8" s="19" t="n">
        <v>262075</v>
      </c>
      <c r="H8" s="19" t="n">
        <v>262075</v>
      </c>
      <c r="I8" s="19" t="n">
        <v>260000</v>
      </c>
      <c r="J8" s="19" t="n">
        <v>260000</v>
      </c>
      <c r="K8" s="19" t="n">
        <v>652534</v>
      </c>
      <c r="L8" s="19" t="n">
        <v>652534</v>
      </c>
      <c r="M8" s="19" t="n">
        <v>656596</v>
      </c>
    </row>
    <row r="9" customFormat="false" ht="15" hidden="false" customHeight="true" outlineLevel="0" collapsed="false">
      <c r="B9" s="9" t="s">
        <v>97</v>
      </c>
      <c r="C9" s="20" t="n">
        <v>0</v>
      </c>
      <c r="D9" s="20" t="n">
        <v>0</v>
      </c>
      <c r="E9" s="20" t="n">
        <v>0</v>
      </c>
      <c r="F9" s="20" t="n">
        <v>0</v>
      </c>
      <c r="G9" s="20" t="n">
        <v>0</v>
      </c>
      <c r="H9" s="20" t="n">
        <v>0</v>
      </c>
      <c r="I9" s="20" t="n">
        <v>75354</v>
      </c>
      <c r="J9" s="20" t="n">
        <v>75354</v>
      </c>
      <c r="K9" s="20" t="n">
        <v>0</v>
      </c>
      <c r="L9" s="20" t="n">
        <v>0</v>
      </c>
      <c r="M9" s="20" t="n">
        <v>0</v>
      </c>
    </row>
    <row r="10" customFormat="false" ht="15" hidden="false" customHeight="true" outlineLevel="0" collapsed="false">
      <c r="B10" s="7" t="s">
        <v>98</v>
      </c>
      <c r="C10" s="19" t="n">
        <v>858986</v>
      </c>
      <c r="D10" s="19" t="n">
        <v>859107</v>
      </c>
      <c r="E10" s="19" t="n">
        <v>867374</v>
      </c>
      <c r="F10" s="19" t="n">
        <v>880054</v>
      </c>
      <c r="G10" s="19" t="n">
        <v>797933</v>
      </c>
      <c r="H10" s="19" t="n">
        <v>813380</v>
      </c>
      <c r="I10" s="19" t="n">
        <v>829350</v>
      </c>
      <c r="J10" s="19" t="n">
        <v>845382</v>
      </c>
      <c r="K10" s="19" t="n">
        <v>26674</v>
      </c>
      <c r="L10" s="19" t="n">
        <v>24216</v>
      </c>
      <c r="M10" s="19" t="n">
        <v>36000</v>
      </c>
    </row>
    <row r="12" customFormat="false" ht="15" hidden="false" customHeight="true" outlineLevel="0" collapsed="false">
      <c r="B12" s="4" t="s">
        <v>99</v>
      </c>
      <c r="C12" s="4"/>
      <c r="D12" s="4"/>
      <c r="E12" s="4"/>
      <c r="F12" s="4"/>
      <c r="G12" s="4"/>
      <c r="H12" s="4"/>
      <c r="I12" s="4"/>
      <c r="J12" s="4"/>
      <c r="K12" s="4"/>
      <c r="L12" s="4"/>
      <c r="M12" s="4"/>
    </row>
    <row r="13" customFormat="false" ht="15" hidden="false" customHeight="true" outlineLevel="0" collapsed="false">
      <c r="B13" s="7" t="s">
        <v>100</v>
      </c>
      <c r="C13" s="19" t="n">
        <v>360059</v>
      </c>
      <c r="D13" s="19"/>
      <c r="E13" s="19"/>
      <c r="F13" s="19"/>
      <c r="G13" s="19"/>
      <c r="H13" s="19"/>
      <c r="I13" s="19"/>
      <c r="J13" s="19" t="n">
        <v>447079</v>
      </c>
      <c r="K13" s="19" t="n">
        <v>447079</v>
      </c>
      <c r="L13" s="19" t="n">
        <v>437696</v>
      </c>
      <c r="M13" s="19" t="n">
        <v>448470</v>
      </c>
    </row>
    <row r="14" customFormat="false" ht="15" hidden="false" customHeight="true" outlineLevel="0" collapsed="false">
      <c r="B14" s="7" t="s">
        <v>101</v>
      </c>
      <c r="C14" s="19" t="n">
        <v>167405</v>
      </c>
      <c r="D14" s="19"/>
      <c r="E14" s="19"/>
      <c r="F14" s="19"/>
      <c r="G14" s="19"/>
      <c r="H14" s="19"/>
      <c r="I14" s="19"/>
      <c r="J14" s="19"/>
      <c r="K14" s="19"/>
      <c r="L14" s="19"/>
      <c r="M14" s="19"/>
    </row>
    <row r="15" customFormat="false" ht="15" hidden="false" customHeight="true" outlineLevel="0" collapsed="false">
      <c r="B15" s="7" t="s">
        <v>102</v>
      </c>
      <c r="C15" s="19"/>
      <c r="D15" s="19"/>
      <c r="E15" s="19"/>
      <c r="F15" s="19"/>
      <c r="G15" s="19"/>
      <c r="H15" s="19" t="n">
        <v>75354</v>
      </c>
      <c r="I15" s="19" t="n">
        <v>75354</v>
      </c>
      <c r="J15" s="19" t="n">
        <v>75354</v>
      </c>
      <c r="K15" s="19" t="n">
        <v>84133</v>
      </c>
      <c r="L15" s="19" t="n">
        <v>151395</v>
      </c>
      <c r="M15" s="19" t="n">
        <v>146174</v>
      </c>
    </row>
    <row r="16" customFormat="false" ht="15" hidden="false" customHeight="true" outlineLevel="0" collapsed="false">
      <c r="B16" s="7" t="s">
        <v>103</v>
      </c>
      <c r="C16" s="19"/>
      <c r="D16" s="19"/>
      <c r="E16" s="19"/>
      <c r="F16" s="19"/>
      <c r="G16" s="19"/>
      <c r="H16" s="19"/>
      <c r="I16" s="19"/>
      <c r="J16" s="19"/>
      <c r="K16" s="19"/>
      <c r="L16" s="19" t="n">
        <v>7979</v>
      </c>
      <c r="M16" s="19" t="n">
        <v>7444</v>
      </c>
    </row>
    <row r="18" customFormat="false" ht="15" hidden="false" customHeight="true" outlineLevel="0" collapsed="false">
      <c r="B18" s="4" t="s">
        <v>104</v>
      </c>
      <c r="C18" s="4"/>
      <c r="D18" s="4"/>
      <c r="E18" s="4"/>
      <c r="F18" s="4"/>
      <c r="G18" s="4"/>
      <c r="H18" s="4"/>
      <c r="I18" s="4"/>
      <c r="J18" s="4"/>
      <c r="K18" s="4"/>
      <c r="L18" s="4"/>
      <c r="M18" s="4"/>
    </row>
    <row r="19" customFormat="false" ht="30" hidden="false" customHeight="true" outlineLevel="0" collapsed="false">
      <c r="B19" s="5" t="s">
        <v>105</v>
      </c>
      <c r="C19" s="5"/>
      <c r="D19" s="5"/>
      <c r="E19" s="5"/>
      <c r="F19" s="5"/>
      <c r="G19" s="5"/>
      <c r="H19" s="5"/>
      <c r="I19" s="5"/>
      <c r="J19" s="5"/>
      <c r="K19" s="5"/>
      <c r="L19" s="5"/>
      <c r="M19" s="5"/>
    </row>
    <row r="20" customFormat="false" ht="30" hidden="false" customHeight="true" outlineLevel="0" collapsed="false">
      <c r="B20" s="5" t="s">
        <v>106</v>
      </c>
      <c r="C20" s="5"/>
      <c r="D20" s="5"/>
      <c r="E20" s="5"/>
      <c r="F20" s="5"/>
      <c r="G20" s="5"/>
      <c r="H20" s="5"/>
      <c r="I20" s="5"/>
      <c r="J20" s="5"/>
      <c r="K20" s="5"/>
      <c r="L20" s="5"/>
      <c r="M20" s="5"/>
    </row>
    <row r="21" customFormat="false" ht="30" hidden="false" customHeight="true" outlineLevel="0" collapsed="false">
      <c r="B21" s="5" t="s">
        <v>107</v>
      </c>
      <c r="C21" s="5"/>
      <c r="D21" s="5"/>
      <c r="E21" s="5"/>
      <c r="F21" s="5"/>
      <c r="G21" s="5"/>
      <c r="H21" s="5"/>
      <c r="I21" s="5"/>
      <c r="J21" s="5"/>
      <c r="K21" s="5"/>
      <c r="L21" s="5"/>
      <c r="M21" s="5"/>
    </row>
    <row r="22" customFormat="false" ht="30" hidden="false" customHeight="true" outlineLevel="0" collapsed="false">
      <c r="B22" s="5" t="s">
        <v>108</v>
      </c>
      <c r="C22" s="5"/>
      <c r="D22" s="5"/>
      <c r="E22" s="5"/>
      <c r="F22" s="5"/>
      <c r="G22" s="5"/>
      <c r="H22" s="5"/>
      <c r="I22" s="5"/>
      <c r="J22" s="5"/>
      <c r="K22" s="5"/>
      <c r="L22" s="5"/>
      <c r="M22" s="5"/>
    </row>
    <row r="23" customFormat="false" ht="30" hidden="false" customHeight="true" outlineLevel="0" collapsed="false">
      <c r="B23" s="5" t="s">
        <v>109</v>
      </c>
      <c r="C23" s="5"/>
      <c r="D23" s="5"/>
      <c r="E23" s="5"/>
      <c r="F23" s="5"/>
      <c r="G23" s="5"/>
      <c r="H23" s="5"/>
      <c r="I23" s="5"/>
      <c r="J23" s="5"/>
      <c r="K23" s="5"/>
      <c r="L23" s="5"/>
      <c r="M23" s="5"/>
    </row>
    <row r="24" customFormat="false" ht="30" hidden="false" customHeight="true" outlineLevel="0" collapsed="false">
      <c r="B24" s="5" t="s">
        <v>110</v>
      </c>
      <c r="C24" s="5"/>
      <c r="D24" s="5"/>
      <c r="E24" s="5"/>
      <c r="F24" s="5"/>
      <c r="G24" s="5"/>
      <c r="H24" s="5"/>
      <c r="I24" s="5"/>
      <c r="J24" s="5"/>
      <c r="K24" s="5"/>
      <c r="L24" s="5"/>
      <c r="M24" s="5"/>
    </row>
    <row r="25" customFormat="false" ht="30" hidden="false" customHeight="true" outlineLevel="0" collapsed="false">
      <c r="B25" s="5" t="s">
        <v>111</v>
      </c>
      <c r="C25" s="5"/>
      <c r="D25" s="5"/>
      <c r="E25" s="5"/>
      <c r="F25" s="5"/>
      <c r="G25" s="5"/>
      <c r="H25" s="5"/>
      <c r="I25" s="5"/>
      <c r="J25" s="5"/>
      <c r="K25" s="5"/>
      <c r="L25" s="5"/>
      <c r="M25" s="5"/>
    </row>
    <row r="27" customFormat="false" ht="15" hidden="false" customHeight="true" outlineLevel="0" collapsed="false">
      <c r="B27" s="4" t="s">
        <v>112</v>
      </c>
      <c r="C27" s="4"/>
      <c r="D27" s="4"/>
      <c r="E27" s="4"/>
      <c r="F27" s="4"/>
      <c r="G27" s="4"/>
      <c r="H27" s="4"/>
      <c r="I27" s="4"/>
      <c r="J27" s="4"/>
      <c r="K27" s="4"/>
      <c r="L27" s="4"/>
      <c r="M27" s="4"/>
    </row>
    <row r="28" customFormat="false" ht="109.5" hidden="false" customHeight="true" outlineLevel="0" collapsed="false">
      <c r="B28" s="21" t="s">
        <v>113</v>
      </c>
      <c r="C28" s="21"/>
      <c r="D28" s="21"/>
      <c r="E28" s="21"/>
      <c r="F28" s="21"/>
      <c r="G28" s="21"/>
      <c r="H28" s="21"/>
      <c r="I28" s="21"/>
      <c r="J28" s="21"/>
      <c r="K28" s="21"/>
      <c r="L28" s="21"/>
      <c r="M28" s="21"/>
    </row>
  </sheetData>
  <mergeCells count="14">
    <mergeCell ref="B2:M2"/>
    <mergeCell ref="B3:M3"/>
    <mergeCell ref="B7:M7"/>
    <mergeCell ref="B12:M12"/>
    <mergeCell ref="B18:M18"/>
    <mergeCell ref="B19:M19"/>
    <mergeCell ref="B20:M20"/>
    <mergeCell ref="B21:M21"/>
    <mergeCell ref="B22:M22"/>
    <mergeCell ref="B23:M23"/>
    <mergeCell ref="B24:M24"/>
    <mergeCell ref="B25:M25"/>
    <mergeCell ref="B27:M27"/>
    <mergeCell ref="B28:M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20"/>
    <col collapsed="false" customWidth="true" hidden="false" outlineLevel="0" max="3" min="3" style="1" width="105"/>
  </cols>
  <sheetData>
    <row r="2" customFormat="false" ht="19.5" hidden="false" customHeight="true" outlineLevel="0" collapsed="false">
      <c r="B2" s="2" t="s">
        <v>114</v>
      </c>
      <c r="C2" s="2"/>
    </row>
    <row r="4" customFormat="false" ht="15" hidden="false" customHeight="true" outlineLevel="0" collapsed="false">
      <c r="B4" s="4" t="s">
        <v>115</v>
      </c>
      <c r="C4" s="4"/>
    </row>
    <row r="5" customFormat="false" ht="30" hidden="false" customHeight="true" outlineLevel="0" collapsed="false">
      <c r="B5" s="22" t="s">
        <v>5</v>
      </c>
      <c r="C5" s="23" t="s">
        <v>116</v>
      </c>
    </row>
    <row r="6" customFormat="false" ht="30" hidden="false" customHeight="true" outlineLevel="0" collapsed="false">
      <c r="B6" s="22" t="s">
        <v>6</v>
      </c>
      <c r="C6" s="23" t="s">
        <v>117</v>
      </c>
    </row>
    <row r="7" customFormat="false" ht="30" hidden="false" customHeight="true" outlineLevel="0" collapsed="false">
      <c r="B7" s="22" t="s">
        <v>7</v>
      </c>
      <c r="C7" s="23" t="s">
        <v>118</v>
      </c>
    </row>
    <row r="8" customFormat="false" ht="30" hidden="false" customHeight="true" outlineLevel="0" collapsed="false">
      <c r="B8" s="22" t="s">
        <v>8</v>
      </c>
      <c r="C8" s="23" t="s">
        <v>119</v>
      </c>
    </row>
    <row r="9" customFormat="false" ht="30" hidden="false" customHeight="true" outlineLevel="0" collapsed="false">
      <c r="B9" s="22" t="s">
        <v>9</v>
      </c>
      <c r="C9" s="23" t="s">
        <v>120</v>
      </c>
    </row>
    <row r="10" customFormat="false" ht="30" hidden="false" customHeight="true" outlineLevel="0" collapsed="false">
      <c r="B10" s="22" t="s">
        <v>10</v>
      </c>
      <c r="C10" s="23" t="s">
        <v>121</v>
      </c>
    </row>
    <row r="11" customFormat="false" ht="30" hidden="false" customHeight="true" outlineLevel="0" collapsed="false">
      <c r="B11" s="22" t="s">
        <v>11</v>
      </c>
      <c r="C11" s="23" t="s">
        <v>122</v>
      </c>
    </row>
    <row r="12" customFormat="false" ht="30" hidden="false" customHeight="true" outlineLevel="0" collapsed="false">
      <c r="B12" s="22" t="s">
        <v>12</v>
      </c>
      <c r="C12" s="23" t="s">
        <v>123</v>
      </c>
    </row>
    <row r="13" customFormat="false" ht="30" hidden="false" customHeight="true" outlineLevel="0" collapsed="false">
      <c r="B13" s="22" t="s">
        <v>13</v>
      </c>
      <c r="C13" s="23" t="s">
        <v>124</v>
      </c>
    </row>
    <row r="14" customFormat="false" ht="30" hidden="false" customHeight="true" outlineLevel="0" collapsed="false">
      <c r="B14" s="22" t="s">
        <v>14</v>
      </c>
      <c r="C14" s="23" t="s">
        <v>125</v>
      </c>
    </row>
    <row r="15" customFormat="false" ht="30" hidden="false" customHeight="true" outlineLevel="0" collapsed="false">
      <c r="B15" s="22" t="s">
        <v>15</v>
      </c>
      <c r="C15" s="23" t="s">
        <v>126</v>
      </c>
    </row>
    <row r="17" customFormat="false" ht="15" hidden="false" customHeight="true" outlineLevel="0" collapsed="false">
      <c r="B17" s="4" t="s">
        <v>127</v>
      </c>
      <c r="C17" s="4"/>
    </row>
    <row r="18" customFormat="false" ht="39.75" hidden="false" customHeight="true" outlineLevel="0" collapsed="false">
      <c r="B18" s="22" t="s">
        <v>128</v>
      </c>
      <c r="C18" s="23" t="s">
        <v>129</v>
      </c>
    </row>
    <row r="19" customFormat="false" ht="31.5" hidden="false" customHeight="true" outlineLevel="0" collapsed="false">
      <c r="B19" s="22" t="s">
        <v>130</v>
      </c>
      <c r="C19" s="23" t="s">
        <v>131</v>
      </c>
    </row>
    <row r="20" customFormat="false" ht="42" hidden="false" customHeight="true" outlineLevel="0" collapsed="false">
      <c r="B20" s="22" t="s">
        <v>132</v>
      </c>
      <c r="C20" s="23" t="s">
        <v>133</v>
      </c>
    </row>
    <row r="22" customFormat="false" ht="15" hidden="false" customHeight="true" outlineLevel="0" collapsed="false">
      <c r="B22" s="4" t="s">
        <v>134</v>
      </c>
      <c r="C22" s="4"/>
    </row>
    <row r="23" customFormat="false" ht="31.5" hidden="false" customHeight="true" outlineLevel="0" collapsed="false">
      <c r="B23" s="22" t="s">
        <v>135</v>
      </c>
      <c r="C23" s="23" t="s">
        <v>136</v>
      </c>
    </row>
    <row r="24" customFormat="false" ht="31.5" hidden="false" customHeight="true" outlineLevel="0" collapsed="false">
      <c r="B24" s="22" t="s">
        <v>137</v>
      </c>
      <c r="C24" s="23" t="s">
        <v>138</v>
      </c>
    </row>
    <row r="25" customFormat="false" ht="42" hidden="false" customHeight="true" outlineLevel="0" collapsed="false">
      <c r="B25" s="22" t="s">
        <v>139</v>
      </c>
      <c r="C25" s="23" t="s">
        <v>140</v>
      </c>
    </row>
    <row r="26" customFormat="false" ht="27.75" hidden="false" customHeight="true" outlineLevel="0" collapsed="false">
      <c r="B26" s="22" t="s">
        <v>141</v>
      </c>
      <c r="C26" s="23" t="s">
        <v>142</v>
      </c>
    </row>
  </sheetData>
  <mergeCells count="4">
    <mergeCell ref="B2:C2"/>
    <mergeCell ref="B4:C4"/>
    <mergeCell ref="B17:C17"/>
    <mergeCell ref="B22:C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2026-07-08T09:22:45Z</dcterms:created>
  <dc:creator>openpyxl</dc:creator>
  <dc:description/>
  <dc:language>en-US</dc:language>
  <cp:lastModifiedBy/>
  <dcterms:modified xsi:type="dcterms:W3CDTF">2026-07-09T12:03:45Z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